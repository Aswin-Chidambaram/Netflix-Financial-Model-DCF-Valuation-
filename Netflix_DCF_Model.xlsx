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win\Desktop\TuteDude\Financial Modelling &amp; Valuation\Finished\"/>
    </mc:Choice>
  </mc:AlternateContent>
  <xr:revisionPtr revIDLastSave="0" documentId="13_ncr:1_{B44705EB-89C4-4E7A-8F1F-46D17C08DE8C}" xr6:coauthVersionLast="47" xr6:coauthVersionMax="47" xr10:uidLastSave="{00000000-0000-0000-0000-000000000000}"/>
  <bookViews>
    <workbookView xWindow="-108" yWindow="-108" windowWidth="23256" windowHeight="13176" xr2:uid="{95067088-38C9-40C8-9FDA-4107EA9E2369}"/>
  </bookViews>
  <sheets>
    <sheet name="INDEX" sheetId="11" r:id="rId1"/>
    <sheet name="P&amp;L Input" sheetId="1" r:id="rId2"/>
    <sheet name="Balance Sheet Input" sheetId="2" r:id="rId3"/>
    <sheet name="Revenue Modelling" sheetId="3" r:id="rId4"/>
    <sheet name="Other Items" sheetId="4" r:id="rId5"/>
    <sheet name="Schedules" sheetId="10" r:id="rId6"/>
    <sheet name="P&amp;L" sheetId="5" r:id="rId7"/>
    <sheet name="Balance Sheet" sheetId="6" r:id="rId8"/>
    <sheet name="Cashflow Statement" sheetId="7" r:id="rId9"/>
    <sheet name="WACC" sheetId="8" r:id="rId10"/>
    <sheet name="DCF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9" l="1"/>
  <c r="B18" i="9"/>
  <c r="C4" i="9"/>
  <c r="D4" i="9"/>
  <c r="E4" i="9"/>
  <c r="B4" i="9"/>
  <c r="C13" i="8"/>
  <c r="C12" i="8"/>
  <c r="C9" i="8"/>
  <c r="F24" i="6"/>
  <c r="G24" i="6"/>
  <c r="H24" i="6"/>
  <c r="E24" i="6"/>
  <c r="F22" i="7"/>
  <c r="G22" i="7"/>
  <c r="H22" i="7"/>
  <c r="E22" i="7"/>
  <c r="F8" i="6"/>
  <c r="G8" i="6"/>
  <c r="H8" i="6"/>
  <c r="E8" i="6"/>
  <c r="F15" i="7"/>
  <c r="G15" i="7"/>
  <c r="H15" i="7"/>
  <c r="E15" i="7"/>
  <c r="F19" i="6"/>
  <c r="G19" i="6"/>
  <c r="G22" i="6" s="1"/>
  <c r="H19" i="6"/>
  <c r="E19" i="6"/>
  <c r="F14" i="7"/>
  <c r="G14" i="7"/>
  <c r="H14" i="7"/>
  <c r="E14" i="7"/>
  <c r="F20" i="6"/>
  <c r="G20" i="6"/>
  <c r="H20" i="6"/>
  <c r="E20" i="6"/>
  <c r="F12" i="7"/>
  <c r="G12" i="7"/>
  <c r="H12" i="7"/>
  <c r="E12" i="7"/>
  <c r="F18" i="6"/>
  <c r="G18" i="6"/>
  <c r="H18" i="6"/>
  <c r="E18" i="6"/>
  <c r="F11" i="7"/>
  <c r="G11" i="7"/>
  <c r="H11" i="7"/>
  <c r="E11" i="7"/>
  <c r="E18" i="7"/>
  <c r="E19" i="7" s="1"/>
  <c r="F10" i="6"/>
  <c r="G10" i="6"/>
  <c r="H10" i="6"/>
  <c r="E10" i="6"/>
  <c r="F11" i="6"/>
  <c r="G11" i="6"/>
  <c r="H11" i="6"/>
  <c r="E11" i="6"/>
  <c r="F18" i="7"/>
  <c r="G18" i="7"/>
  <c r="G19" i="7" s="1"/>
  <c r="H18" i="7"/>
  <c r="F9" i="7"/>
  <c r="G9" i="7"/>
  <c r="H9" i="7"/>
  <c r="E10" i="7"/>
  <c r="E9" i="7"/>
  <c r="E31" i="6"/>
  <c r="F31" i="6" s="1"/>
  <c r="E22" i="6"/>
  <c r="E26" i="6" s="1"/>
  <c r="F17" i="7"/>
  <c r="G17" i="7"/>
  <c r="H17" i="7"/>
  <c r="E17" i="7"/>
  <c r="F8" i="7"/>
  <c r="G8" i="7"/>
  <c r="H8" i="7"/>
  <c r="E8" i="7"/>
  <c r="F19" i="7"/>
  <c r="H19" i="7"/>
  <c r="F5" i="7"/>
  <c r="G5" i="7"/>
  <c r="H5" i="7"/>
  <c r="F23" i="7"/>
  <c r="G23" i="7"/>
  <c r="H23" i="7"/>
  <c r="F24" i="7"/>
  <c r="G24" i="7"/>
  <c r="H24" i="7"/>
  <c r="F6" i="7"/>
  <c r="G6" i="7"/>
  <c r="H6" i="7"/>
  <c r="F4" i="7"/>
  <c r="G4" i="7"/>
  <c r="H4" i="7"/>
  <c r="F7" i="7"/>
  <c r="F10" i="7" s="1"/>
  <c r="G7" i="7"/>
  <c r="G10" i="7" s="1"/>
  <c r="H7" i="7"/>
  <c r="H10" i="7" s="1"/>
  <c r="F16" i="7"/>
  <c r="G16" i="7"/>
  <c r="H16" i="7"/>
  <c r="E23" i="7"/>
  <c r="E24" i="7"/>
  <c r="E7" i="7"/>
  <c r="E5" i="7"/>
  <c r="E6" i="7"/>
  <c r="E4" i="7"/>
  <c r="B9" i="6"/>
  <c r="B13" i="6" s="1"/>
  <c r="C9" i="6"/>
  <c r="C13" i="6" s="1"/>
  <c r="D9" i="6"/>
  <c r="D13" i="6" s="1"/>
  <c r="B22" i="6"/>
  <c r="C22" i="6"/>
  <c r="D22" i="6"/>
  <c r="B26" i="6"/>
  <c r="C26" i="6"/>
  <c r="D26" i="6"/>
  <c r="B32" i="6"/>
  <c r="C32" i="6"/>
  <c r="D32" i="6"/>
  <c r="F19" i="5"/>
  <c r="G19" i="5"/>
  <c r="H19" i="5"/>
  <c r="E19" i="5"/>
  <c r="F20" i="5"/>
  <c r="G20" i="5"/>
  <c r="H20" i="5"/>
  <c r="E20" i="5"/>
  <c r="D20" i="5"/>
  <c r="C20" i="5"/>
  <c r="B20" i="5"/>
  <c r="B19" i="5"/>
  <c r="D19" i="5"/>
  <c r="C19" i="5"/>
  <c r="B17" i="5"/>
  <c r="D17" i="5"/>
  <c r="B7" i="10"/>
  <c r="D25" i="4"/>
  <c r="D26" i="4" s="1"/>
  <c r="E16" i="5"/>
  <c r="F16" i="5"/>
  <c r="G16" i="5"/>
  <c r="H16" i="5"/>
  <c r="C16" i="5"/>
  <c r="D16" i="5"/>
  <c r="C17" i="5"/>
  <c r="B16" i="5"/>
  <c r="C14" i="5"/>
  <c r="D14" i="5"/>
  <c r="E4" i="4"/>
  <c r="D4" i="4"/>
  <c r="C4" i="4"/>
  <c r="C7" i="5"/>
  <c r="B4" i="4"/>
  <c r="B7" i="5" s="1"/>
  <c r="B14" i="5"/>
  <c r="C10" i="5"/>
  <c r="D10" i="5"/>
  <c r="E10" i="5"/>
  <c r="F10" i="5"/>
  <c r="G10" i="5"/>
  <c r="H10" i="5"/>
  <c r="C11" i="5"/>
  <c r="D11" i="5"/>
  <c r="E11" i="5"/>
  <c r="F11" i="5"/>
  <c r="G11" i="5"/>
  <c r="H11" i="5"/>
  <c r="C12" i="5"/>
  <c r="D12" i="5"/>
  <c r="E12" i="5"/>
  <c r="F12" i="5"/>
  <c r="G12" i="5"/>
  <c r="H12" i="5"/>
  <c r="B12" i="5"/>
  <c r="B11" i="5"/>
  <c r="B10" i="5"/>
  <c r="D7" i="5"/>
  <c r="C4" i="5"/>
  <c r="C6" i="5" s="1"/>
  <c r="D4" i="5"/>
  <c r="E4" i="5"/>
  <c r="F4" i="5"/>
  <c r="G4" i="5"/>
  <c r="H4" i="5"/>
  <c r="H6" i="5" s="1"/>
  <c r="C5" i="5"/>
  <c r="D5" i="5"/>
  <c r="E5" i="5"/>
  <c r="E6" i="5" s="1"/>
  <c r="F5" i="5"/>
  <c r="F6" i="5" s="1"/>
  <c r="G5" i="5"/>
  <c r="G6" i="5" s="1"/>
  <c r="H5" i="5"/>
  <c r="B5" i="5"/>
  <c r="B4" i="5"/>
  <c r="E27" i="10"/>
  <c r="B28" i="10"/>
  <c r="F27" i="10"/>
  <c r="G27" i="10"/>
  <c r="H27" i="10"/>
  <c r="F28" i="10"/>
  <c r="G28" i="10"/>
  <c r="H28" i="10"/>
  <c r="E28" i="10"/>
  <c r="F25" i="10"/>
  <c r="E25" i="10"/>
  <c r="F23" i="10" s="1"/>
  <c r="G23" i="10"/>
  <c r="G25" i="10" s="1"/>
  <c r="H23" i="10" s="1"/>
  <c r="H25" i="10" s="1"/>
  <c r="E23" i="10"/>
  <c r="H24" i="10"/>
  <c r="G24" i="10"/>
  <c r="F24" i="10"/>
  <c r="E24" i="10"/>
  <c r="C28" i="10"/>
  <c r="D28" i="10"/>
  <c r="D27" i="10"/>
  <c r="C27" i="10"/>
  <c r="B27" i="10"/>
  <c r="D24" i="10"/>
  <c r="C24" i="10"/>
  <c r="D23" i="10"/>
  <c r="C23" i="10"/>
  <c r="D25" i="10"/>
  <c r="C25" i="10"/>
  <c r="B25" i="10"/>
  <c r="F17" i="10"/>
  <c r="E17" i="10"/>
  <c r="E16" i="10"/>
  <c r="F19" i="10"/>
  <c r="G19" i="10"/>
  <c r="H19" i="10"/>
  <c r="E19" i="10"/>
  <c r="D19" i="10"/>
  <c r="C19" i="10"/>
  <c r="F15" i="10"/>
  <c r="G15" i="10"/>
  <c r="H15" i="10"/>
  <c r="E15" i="10"/>
  <c r="D15" i="10"/>
  <c r="C15" i="10"/>
  <c r="E14" i="10"/>
  <c r="F14" i="10"/>
  <c r="F16" i="10" s="1"/>
  <c r="G14" i="10"/>
  <c r="G16" i="10" s="1"/>
  <c r="G17" i="10" s="1"/>
  <c r="H14" i="10" s="1"/>
  <c r="D14" i="10"/>
  <c r="C14" i="10"/>
  <c r="D17" i="10"/>
  <c r="C17" i="10"/>
  <c r="B17" i="10"/>
  <c r="E4" i="10"/>
  <c r="F5" i="10"/>
  <c r="G5" i="10"/>
  <c r="H5" i="10"/>
  <c r="E5" i="10"/>
  <c r="D7" i="10"/>
  <c r="D5" i="10" s="1"/>
  <c r="C4" i="10"/>
  <c r="C5" i="10" s="1"/>
  <c r="F23" i="4"/>
  <c r="G23" i="4"/>
  <c r="H23" i="4"/>
  <c r="E23" i="4"/>
  <c r="F17" i="4"/>
  <c r="G17" i="4"/>
  <c r="H17" i="4"/>
  <c r="E17" i="4"/>
  <c r="E16" i="4" s="1"/>
  <c r="B26" i="4"/>
  <c r="B23" i="4"/>
  <c r="B25" i="4"/>
  <c r="B22" i="4"/>
  <c r="B19" i="4"/>
  <c r="B17" i="4"/>
  <c r="B16" i="4"/>
  <c r="C7" i="10"/>
  <c r="D4" i="10" s="1"/>
  <c r="F22" i="4"/>
  <c r="G22" i="4"/>
  <c r="H22" i="4"/>
  <c r="E22" i="4"/>
  <c r="C26" i="4"/>
  <c r="D23" i="4"/>
  <c r="C23" i="4"/>
  <c r="D22" i="4"/>
  <c r="C25" i="4"/>
  <c r="C22" i="4"/>
  <c r="D20" i="4"/>
  <c r="C20" i="4"/>
  <c r="C19" i="4"/>
  <c r="D19" i="4"/>
  <c r="F16" i="4"/>
  <c r="G16" i="4"/>
  <c r="H16" i="4"/>
  <c r="D17" i="4"/>
  <c r="C17" i="4"/>
  <c r="D16" i="4"/>
  <c r="C16" i="4"/>
  <c r="F13" i="4"/>
  <c r="G13" i="4"/>
  <c r="H13" i="4"/>
  <c r="E13" i="4"/>
  <c r="F14" i="4"/>
  <c r="G14" i="4"/>
  <c r="H14" i="4"/>
  <c r="E14" i="4"/>
  <c r="C14" i="4"/>
  <c r="D14" i="4"/>
  <c r="B14" i="4"/>
  <c r="D13" i="4"/>
  <c r="C13" i="4"/>
  <c r="B13" i="4"/>
  <c r="F10" i="4"/>
  <c r="G10" i="4"/>
  <c r="H10" i="4"/>
  <c r="E10" i="4"/>
  <c r="F11" i="4"/>
  <c r="G11" i="4"/>
  <c r="H11" i="4"/>
  <c r="E11" i="4"/>
  <c r="C11" i="4"/>
  <c r="D11" i="4"/>
  <c r="B11" i="4"/>
  <c r="D10" i="4"/>
  <c r="C10" i="4"/>
  <c r="B10" i="4"/>
  <c r="F7" i="4"/>
  <c r="G7" i="4"/>
  <c r="H7" i="4"/>
  <c r="E7" i="4"/>
  <c r="F8" i="4"/>
  <c r="G8" i="4"/>
  <c r="H8" i="4"/>
  <c r="E8" i="4"/>
  <c r="C8" i="4"/>
  <c r="D8" i="4"/>
  <c r="B8" i="4"/>
  <c r="D7" i="4"/>
  <c r="C7" i="4"/>
  <c r="B7" i="4"/>
  <c r="D5" i="4"/>
  <c r="B5" i="4"/>
  <c r="E32" i="6"/>
  <c r="H22" i="6"/>
  <c r="H26" i="6" s="1"/>
  <c r="F22" i="6"/>
  <c r="F26" i="6" s="1"/>
  <c r="D6" i="5"/>
  <c r="B6" i="5"/>
  <c r="C6" i="3"/>
  <c r="D6" i="3"/>
  <c r="E6" i="3"/>
  <c r="F6" i="3"/>
  <c r="G6" i="3"/>
  <c r="H6" i="3"/>
  <c r="D4" i="3"/>
  <c r="C4" i="3"/>
  <c r="B4" i="3"/>
  <c r="B6" i="3"/>
  <c r="D5" i="3"/>
  <c r="C5" i="3"/>
  <c r="E5" i="3" s="1"/>
  <c r="E3" i="3" s="1"/>
  <c r="F32" i="3"/>
  <c r="G32" i="3"/>
  <c r="H32" i="3"/>
  <c r="E32" i="3"/>
  <c r="D32" i="3"/>
  <c r="D33" i="3" s="1"/>
  <c r="C32" i="3"/>
  <c r="C33" i="3" s="1"/>
  <c r="B32" i="3"/>
  <c r="B33" i="3" s="1"/>
  <c r="F25" i="3"/>
  <c r="G25" i="3"/>
  <c r="H25" i="3"/>
  <c r="E25" i="3"/>
  <c r="D25" i="3"/>
  <c r="D26" i="3" s="1"/>
  <c r="C25" i="3"/>
  <c r="C26" i="3" s="1"/>
  <c r="B25" i="3"/>
  <c r="B26" i="3" s="1"/>
  <c r="E18" i="3"/>
  <c r="D18" i="3"/>
  <c r="D19" i="3" s="1"/>
  <c r="C18" i="3"/>
  <c r="C19" i="3" s="1"/>
  <c r="B18" i="3"/>
  <c r="B19" i="3" s="1"/>
  <c r="B12" i="3"/>
  <c r="D11" i="3"/>
  <c r="D12" i="3" s="1"/>
  <c r="C11" i="3"/>
  <c r="E11" i="3" s="1"/>
  <c r="B11" i="3"/>
  <c r="F11" i="3" s="1"/>
  <c r="C3" i="3"/>
  <c r="D3" i="3"/>
  <c r="B3" i="3"/>
  <c r="C15" i="8" l="1"/>
  <c r="C16" i="8"/>
  <c r="G26" i="6"/>
  <c r="E16" i="7"/>
  <c r="E33" i="6"/>
  <c r="E21" i="7"/>
  <c r="E25" i="7" s="1"/>
  <c r="E6" i="6" s="1"/>
  <c r="E9" i="6" s="1"/>
  <c r="E13" i="6" s="1"/>
  <c r="F32" i="6"/>
  <c r="G31" i="6"/>
  <c r="H21" i="7"/>
  <c r="H25" i="7" s="1"/>
  <c r="G21" i="7"/>
  <c r="G25" i="7" s="1"/>
  <c r="F21" i="7"/>
  <c r="F25" i="7" s="1"/>
  <c r="D33" i="6"/>
  <c r="D36" i="6" s="1"/>
  <c r="C33" i="6"/>
  <c r="B33" i="6"/>
  <c r="C36" i="6"/>
  <c r="F33" i="6"/>
  <c r="C9" i="10"/>
  <c r="E26" i="4"/>
  <c r="E25" i="4" s="1"/>
  <c r="F26" i="4"/>
  <c r="F25" i="4" s="1"/>
  <c r="G26" i="4"/>
  <c r="G25" i="4" s="1"/>
  <c r="H26" i="4"/>
  <c r="H25" i="4" s="1"/>
  <c r="C5" i="4"/>
  <c r="B20" i="4"/>
  <c r="E20" i="4" s="1"/>
  <c r="D8" i="5"/>
  <c r="D13" i="5" s="1"/>
  <c r="D15" i="5" s="1"/>
  <c r="D18" i="5" s="1"/>
  <c r="D21" i="5" s="1"/>
  <c r="G5" i="4"/>
  <c r="G4" i="4" s="1"/>
  <c r="G20" i="4"/>
  <c r="C8" i="5"/>
  <c r="C13" i="5" s="1"/>
  <c r="C15" i="5" s="1"/>
  <c r="C18" i="5" s="1"/>
  <c r="C21" i="5" s="1"/>
  <c r="H20" i="4"/>
  <c r="F20" i="4"/>
  <c r="E5" i="4"/>
  <c r="F5" i="4"/>
  <c r="H5" i="4"/>
  <c r="H4" i="4" s="1"/>
  <c r="B8" i="5"/>
  <c r="B13" i="5" s="1"/>
  <c r="B15" i="5" s="1"/>
  <c r="B18" i="5" s="1"/>
  <c r="B21" i="5" s="1"/>
  <c r="H16" i="10"/>
  <c r="H17" i="10" s="1"/>
  <c r="D9" i="10"/>
  <c r="E9" i="10"/>
  <c r="B36" i="6"/>
  <c r="D13" i="3"/>
  <c r="E13" i="3" s="1"/>
  <c r="F13" i="3" s="1"/>
  <c r="G13" i="3" s="1"/>
  <c r="H13" i="3" s="1"/>
  <c r="E12" i="3"/>
  <c r="F12" i="3" s="1"/>
  <c r="D27" i="3"/>
  <c r="H5" i="3"/>
  <c r="H11" i="3"/>
  <c r="F5" i="3"/>
  <c r="F3" i="3" s="1"/>
  <c r="H18" i="3"/>
  <c r="G18" i="3"/>
  <c r="C12" i="3"/>
  <c r="C13" i="3" s="1"/>
  <c r="G5" i="3"/>
  <c r="G11" i="3"/>
  <c r="C20" i="3"/>
  <c r="F18" i="3"/>
  <c r="C34" i="3"/>
  <c r="E34" i="3" s="1"/>
  <c r="E33" i="3" s="1"/>
  <c r="D34" i="3"/>
  <c r="C27" i="3"/>
  <c r="E10" i="3"/>
  <c r="G12" i="3"/>
  <c r="F10" i="3"/>
  <c r="D20" i="3"/>
  <c r="C18" i="8" l="1"/>
  <c r="B12" i="9" s="1"/>
  <c r="B5" i="9"/>
  <c r="B8" i="9" s="1"/>
  <c r="C5" i="9"/>
  <c r="C8" i="9" s="1"/>
  <c r="E5" i="9"/>
  <c r="E8" i="9" s="1"/>
  <c r="D5" i="9"/>
  <c r="D8" i="9" s="1"/>
  <c r="G32" i="6"/>
  <c r="G33" i="6" s="1"/>
  <c r="H31" i="6"/>
  <c r="H32" i="6" s="1"/>
  <c r="H33" i="6" s="1"/>
  <c r="E36" i="6"/>
  <c r="F6" i="6"/>
  <c r="G6" i="6" s="1"/>
  <c r="F9" i="10"/>
  <c r="G9" i="10" s="1"/>
  <c r="H9" i="10" s="1"/>
  <c r="E6" i="10"/>
  <c r="F4" i="4"/>
  <c r="F7" i="5" s="1"/>
  <c r="F8" i="5" s="1"/>
  <c r="F13" i="5" s="1"/>
  <c r="E19" i="4"/>
  <c r="G3" i="3"/>
  <c r="E31" i="3"/>
  <c r="E20" i="3"/>
  <c r="E27" i="3"/>
  <c r="F34" i="3"/>
  <c r="H12" i="3"/>
  <c r="H10" i="3" s="1"/>
  <c r="G10" i="3"/>
  <c r="B13" i="9" l="1"/>
  <c r="B10" i="9"/>
  <c r="B16" i="9" s="1"/>
  <c r="B19" i="9" s="1"/>
  <c r="B23" i="9" s="1"/>
  <c r="F10" i="8" s="1"/>
  <c r="F9" i="6"/>
  <c r="F13" i="6" s="1"/>
  <c r="F36" i="6" s="1"/>
  <c r="H6" i="6"/>
  <c r="H9" i="6" s="1"/>
  <c r="H13" i="6" s="1"/>
  <c r="H36" i="6" s="1"/>
  <c r="G9" i="6"/>
  <c r="G13" i="6" s="1"/>
  <c r="G36" i="6" s="1"/>
  <c r="E14" i="5"/>
  <c r="E7" i="10"/>
  <c r="F4" i="10" s="1"/>
  <c r="F19" i="4"/>
  <c r="E7" i="5"/>
  <c r="E8" i="5" s="1"/>
  <c r="E13" i="5" s="1"/>
  <c r="G34" i="3"/>
  <c r="H34" i="3"/>
  <c r="F27" i="3"/>
  <c r="G27" i="3" s="1"/>
  <c r="H27" i="3" s="1"/>
  <c r="E26" i="3"/>
  <c r="F20" i="3"/>
  <c r="G20" i="3" s="1"/>
  <c r="H20" i="3" s="1"/>
  <c r="E19" i="3"/>
  <c r="F33" i="3"/>
  <c r="H3" i="3"/>
  <c r="E15" i="5" l="1"/>
  <c r="E18" i="5" s="1"/>
  <c r="E21" i="5" s="1"/>
  <c r="F6" i="10"/>
  <c r="F14" i="5" s="1"/>
  <c r="F15" i="5" s="1"/>
  <c r="F18" i="5" s="1"/>
  <c r="F21" i="5" s="1"/>
  <c r="F7" i="10"/>
  <c r="G4" i="10" s="1"/>
  <c r="G7" i="5"/>
  <c r="G8" i="5" s="1"/>
  <c r="G13" i="5" s="1"/>
  <c r="G19" i="4"/>
  <c r="F31" i="3"/>
  <c r="G33" i="3"/>
  <c r="F19" i="3"/>
  <c r="E17" i="3"/>
  <c r="F26" i="3"/>
  <c r="E24" i="3"/>
  <c r="G6" i="10" l="1"/>
  <c r="G14" i="5" s="1"/>
  <c r="G15" i="5" s="1"/>
  <c r="G18" i="5" s="1"/>
  <c r="G21" i="5" s="1"/>
  <c r="G26" i="3"/>
  <c r="F24" i="3"/>
  <c r="G19" i="3"/>
  <c r="F17" i="3"/>
  <c r="H33" i="3"/>
  <c r="H31" i="3" s="1"/>
  <c r="G31" i="3"/>
  <c r="G7" i="10" l="1"/>
  <c r="H4" i="10" s="1"/>
  <c r="H7" i="5"/>
  <c r="H8" i="5" s="1"/>
  <c r="H13" i="5" s="1"/>
  <c r="H19" i="4"/>
  <c r="H19" i="3"/>
  <c r="H17" i="3" s="1"/>
  <c r="G17" i="3"/>
  <c r="H26" i="3"/>
  <c r="H24" i="3" s="1"/>
  <c r="G24" i="3"/>
  <c r="H6" i="10" l="1"/>
  <c r="H14" i="5" s="1"/>
  <c r="H15" i="5" s="1"/>
  <c r="H18" i="5" s="1"/>
  <c r="H21" i="5" s="1"/>
  <c r="H7" i="10"/>
</calcChain>
</file>

<file path=xl/sharedStrings.xml><?xml version="1.0" encoding="utf-8"?>
<sst xmlns="http://schemas.openxmlformats.org/spreadsheetml/2006/main" count="253" uniqueCount="180">
  <si>
    <t>Revenues</t>
  </si>
  <si>
    <t>Cost of revenues</t>
  </si>
  <si>
    <t>Description</t>
  </si>
  <si>
    <t>2024 ($)</t>
  </si>
  <si>
    <t>2023 ($)</t>
  </si>
  <si>
    <t>2022 ($)</t>
  </si>
  <si>
    <t>Sales and marketing</t>
  </si>
  <si>
    <t>Technology and development</t>
  </si>
  <si>
    <t>General and administrative</t>
  </si>
  <si>
    <t>Operating income</t>
  </si>
  <si>
    <t>Other income (expense):</t>
  </si>
  <si>
    <t>Interest expense</t>
  </si>
  <si>
    <t>Interest and other income (expense)</t>
  </si>
  <si>
    <t>Income before income taxes</t>
  </si>
  <si>
    <t>Provision for income taxes</t>
  </si>
  <si>
    <t>Net income</t>
  </si>
  <si>
    <t>Assets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</si>
  <si>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</si>
  <si>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</si>
  <si>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</si>
  <si>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</si>
  <si>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</si>
  <si>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</si>
  <si>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</si>
  <si>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</si>
  <si>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</si>
  <si>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Liabilities and Stockholders' Equity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</si>
  <si>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</si>
  <si>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</si>
  <si>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</si>
  <si>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</si>
  <si>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</si>
  <si>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</si>
  <si>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</si>
  <si>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</si>
  <si>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</si>
  <si>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</si>
  <si>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</si>
  <si>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Stockholders' equity:</t>
  </si>
  <si>
    <t>Accumulated other comprehensive income (loss)</t>
  </si>
  <si>
    <t>Retained earnings</t>
  </si>
  <si>
    <t>Total stockholders' equity</t>
  </si>
  <si>
    <t>Total liabilities and stockholders' equity</t>
  </si>
  <si>
    <t>P&amp;L Statement</t>
  </si>
  <si>
    <t>(in thousands)</t>
  </si>
  <si>
    <t xml:space="preserve">Balance Sheet </t>
  </si>
  <si>
    <t>Common stock</t>
  </si>
  <si>
    <t>Treasury stock</t>
  </si>
  <si>
    <t>Revenue Sources</t>
  </si>
  <si>
    <t>2022
Act</t>
  </si>
  <si>
    <t>2023
Act</t>
  </si>
  <si>
    <t>2024
Act</t>
  </si>
  <si>
    <t>Streaming revenues</t>
  </si>
  <si>
    <t>Growth %</t>
  </si>
  <si>
    <t>Total Revenues</t>
  </si>
  <si>
    <t>Unites States and Canada ( in thousands)</t>
  </si>
  <si>
    <t>Average yearly revenue per membership</t>
  </si>
  <si>
    <t>Average Paid membership</t>
  </si>
  <si>
    <t>Europe, Middle East, and Africa (EMEA) (in thousands)</t>
  </si>
  <si>
    <t>Latin America (LATAM) (in thousands)</t>
  </si>
  <si>
    <t>Asia-Pacific (in thousands)</t>
  </si>
  <si>
    <t>Average Monthly Revenues</t>
  </si>
  <si>
    <t>2025
Forcasted</t>
  </si>
  <si>
    <t>2026
Forcasted</t>
  </si>
  <si>
    <t>2027
Forcasted</t>
  </si>
  <si>
    <t>2028
Forcasted</t>
  </si>
  <si>
    <t xml:space="preserve"> Industry Average - 19 to 21%</t>
  </si>
  <si>
    <t xml:space="preserve"> Industry Average - 7 to 9%</t>
  </si>
  <si>
    <t xml:space="preserve"> Industry Average - 7.6%</t>
  </si>
  <si>
    <t xml:space="preserve"> Industry Average - 22.5%</t>
  </si>
  <si>
    <t>DVD Revenues</t>
  </si>
  <si>
    <t>Other Items</t>
  </si>
  <si>
    <t>Cost of Goods Sold</t>
  </si>
  <si>
    <t>as a % revenues</t>
  </si>
  <si>
    <t>Marketing</t>
  </si>
  <si>
    <t>Technology and Development</t>
  </si>
  <si>
    <t>General and Administrative</t>
  </si>
  <si>
    <t>Other Current assets</t>
  </si>
  <si>
    <t xml:space="preserve">Accounts Payable </t>
  </si>
  <si>
    <t>Days Payable</t>
  </si>
  <si>
    <t>Accrued Expenses and other Liabilities</t>
  </si>
  <si>
    <t>Deferred Revenue</t>
  </si>
  <si>
    <t>Beginning Balance</t>
  </si>
  <si>
    <t>add: Capex</t>
  </si>
  <si>
    <t>less: Depreciation</t>
  </si>
  <si>
    <t>Closing Balance</t>
  </si>
  <si>
    <t xml:space="preserve">Useful life </t>
  </si>
  <si>
    <t>Content Assets</t>
  </si>
  <si>
    <t>add: Addition to Content Assets</t>
  </si>
  <si>
    <t>less: Amortisation of Content Assets</t>
  </si>
  <si>
    <t>Useful life</t>
  </si>
  <si>
    <t>Debt Schedule</t>
  </si>
  <si>
    <t>Beginning Balance of Debt</t>
  </si>
  <si>
    <t>add/less: Debt Taken /(debt repaid)</t>
  </si>
  <si>
    <t>Interest Expense</t>
  </si>
  <si>
    <t>P&amp;L Forcasting</t>
  </si>
  <si>
    <t>Gross Margin</t>
  </si>
  <si>
    <t>EBITDA</t>
  </si>
  <si>
    <t xml:space="preserve">EBIT </t>
  </si>
  <si>
    <t xml:space="preserve">     Interest</t>
  </si>
  <si>
    <t xml:space="preserve">     Interest and other income (expense)</t>
  </si>
  <si>
    <t>EBT</t>
  </si>
  <si>
    <t>Taxes</t>
  </si>
  <si>
    <t>tax rate %</t>
  </si>
  <si>
    <t>Net Income</t>
  </si>
  <si>
    <t xml:space="preserve">     Cash and cash equivalents</t>
  </si>
  <si>
    <t xml:space="preserve">     Other current assets</t>
  </si>
  <si>
    <t xml:space="preserve">     Content assets, net</t>
  </si>
  <si>
    <t xml:space="preserve">     Property and equipment, net</t>
  </si>
  <si>
    <t xml:space="preserve">     Other non-current assets</t>
  </si>
  <si>
    <t xml:space="preserve">     Current content liabilities</t>
  </si>
  <si>
    <t xml:space="preserve">     Accounts payable</t>
  </si>
  <si>
    <t xml:space="preserve">     Accrued expenses and other liabilities</t>
  </si>
  <si>
    <t xml:space="preserve">     Deferred revenue</t>
  </si>
  <si>
    <t xml:space="preserve">     Short-term debt</t>
  </si>
  <si>
    <t xml:space="preserve">     Long-term debt</t>
  </si>
  <si>
    <t xml:space="preserve">     Other non-current liabilities</t>
  </si>
  <si>
    <t xml:space="preserve">     Common stock</t>
  </si>
  <si>
    <t xml:space="preserve">     Treasury stock</t>
  </si>
  <si>
    <t xml:space="preserve">     Accumulated other comprehensive income (loss)</t>
  </si>
  <si>
    <t xml:space="preserve">     Retained earnings</t>
  </si>
  <si>
    <t xml:space="preserve">Check </t>
  </si>
  <si>
    <t>Cash Flow</t>
  </si>
  <si>
    <t>EBIT</t>
  </si>
  <si>
    <t>Operating Taxes</t>
  </si>
  <si>
    <t>Tax Rate %</t>
  </si>
  <si>
    <t>NOPAT</t>
  </si>
  <si>
    <t>add Amortization</t>
  </si>
  <si>
    <t>add Depreciation</t>
  </si>
  <si>
    <t>Gross Cash Flow</t>
  </si>
  <si>
    <t>Account Payables</t>
  </si>
  <si>
    <t>Current content liabilites</t>
  </si>
  <si>
    <t>Investments in Working Capital</t>
  </si>
  <si>
    <t>PP&amp;E</t>
  </si>
  <si>
    <t>Capex:</t>
  </si>
  <si>
    <t>Extraordinary Items</t>
  </si>
  <si>
    <t>UFCF</t>
  </si>
  <si>
    <t>Debt taken (Repaid)</t>
  </si>
  <si>
    <t>Diff b/w Operating Taxes &amp; Actual Taxes</t>
  </si>
  <si>
    <t>Net Cash Flow</t>
  </si>
  <si>
    <t>WACC</t>
  </si>
  <si>
    <t>Market Risk Premium</t>
  </si>
  <si>
    <t>Beta</t>
  </si>
  <si>
    <t>Amount</t>
  </si>
  <si>
    <t xml:space="preserve">Cost of Equity </t>
  </si>
  <si>
    <t>Cost Debt</t>
  </si>
  <si>
    <t>Equity</t>
  </si>
  <si>
    <t>Debt</t>
  </si>
  <si>
    <t>Equity/(Equity+Debt)</t>
  </si>
  <si>
    <t>Debt/(Equity+Debt)</t>
  </si>
  <si>
    <t>DCF Analysis</t>
  </si>
  <si>
    <t xml:space="preserve">Discounting Factor </t>
  </si>
  <si>
    <t>No of Years</t>
  </si>
  <si>
    <t>PV of UFCF</t>
  </si>
  <si>
    <t>Sum of PV</t>
  </si>
  <si>
    <t>Terminal Value</t>
  </si>
  <si>
    <t>PV of Terminal value</t>
  </si>
  <si>
    <t>Enterprise Value</t>
  </si>
  <si>
    <t>Cash</t>
  </si>
  <si>
    <t>Sales and Marketing</t>
  </si>
  <si>
    <t>-</t>
  </si>
  <si>
    <t>Operating Expenses:</t>
  </si>
  <si>
    <t xml:space="preserve">     Short term Investments</t>
  </si>
  <si>
    <t>Cost of Equity = RiskfreeRate*beta + Market Risk Premium</t>
  </si>
  <si>
    <t>Sheet Name</t>
  </si>
  <si>
    <t>Revenue Modelling</t>
  </si>
  <si>
    <t>Netflix Valuation Using DCF Method</t>
  </si>
  <si>
    <t>S.No</t>
  </si>
  <si>
    <t>Schedules</t>
  </si>
  <si>
    <t>P&amp;L</t>
  </si>
  <si>
    <t>Balance Sheet</t>
  </si>
  <si>
    <t>Cash Flow Statement</t>
  </si>
  <si>
    <t>DCF</t>
  </si>
  <si>
    <t>Risk free Rate/ 
Perpetutity Growth rate (g)</t>
  </si>
  <si>
    <t>Equity Value / Intrinsic Value</t>
  </si>
  <si>
    <t>Netflix Diluted Outstanding Share on MAR 2024</t>
  </si>
  <si>
    <t>Intrinsic Value per Share</t>
  </si>
  <si>
    <t>Growth Rate</t>
  </si>
  <si>
    <t>Intrinsic Value/Share</t>
  </si>
  <si>
    <t>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</si>
</sst>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  <numFmt numFmtId="165" formatCode="_(* #,##0_);_(* \(#,##0\);_(* &quot;-&quot;??_);_(@_)"/>
    <numFmt numFmtId="166" formatCode="_(* #,##0.00_);_(* \(#,##0.00\);_(* &quot;-&quot;??_);_(@_)"/>
    <numFmt numFmtId="167" formatCode="_(&quot;$&quot;* #,##0_);_(&quot;$&quot;* \(#,##0\);_(&quot;$&quot;* &quot;-&quot;??_);_(@_)"/>
    <numFmt numFmtId="168" formatCode="&quot;$&quot;* #,###\ ;&quot;$&quot;* \(#,###\);&quot;$&quot;* \-\ "/>
    <numFmt numFmtId="169" formatCode="_(* #,##0.0_);_(* \(#,##0.0\);_(* &quot;-&quot;?_);@_l"/>
    <numFmt numFmtId="170" formatCode="_(* #,##0.0_);_(* \(#,##0.0\);_(* &quot;-&quot;?_);@_)"/>
    <numFmt numFmtId="171" formatCode="_(* #,##0.0000_);_(* \(#,##0.0000\);_(* &quot;-&quot;??_);_(@_)"/>
    <numFmt numFmtId="172" formatCode="0.0"/>
  </numFmts>
  <fonts count="36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sz val="8"/>
      <color rgb="FF444746"/>
      <name val="Google Sans Text"/>
      <family val="2"/>
    </font>
    <font>
      <b/>
      <sz val="11"/>
      <color rgb="FF1B1C1D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rgb="FF002060"/>
      <name val="Arial"/>
      <family val="2"/>
    </font>
    <font>
      <b/>
      <sz val="9"/>
      <name val="Arial"/>
      <family val="2"/>
    </font>
    <font>
      <b/>
      <sz val="12"/>
      <color rgb="FF002060"/>
      <name val="Arial"/>
      <family val="2"/>
    </font>
    <font>
      <sz val="11"/>
      <name val="Calibri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i/>
      <sz val="11"/>
      <name val="Calibri"/>
      <family val="2"/>
    </font>
    <font>
      <b/>
      <sz val="20"/>
      <name val="Calibri"/>
      <family val="2"/>
    </font>
    <font>
      <b/>
      <sz val="11"/>
      <color rgb="FF1F3864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color rgb="FF333F4F"/>
      <name val="Arial"/>
      <family val="2"/>
    </font>
    <font>
      <b/>
      <sz val="11"/>
      <color theme="0"/>
      <name val="Calibri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18"/>
      <color theme="3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965"/>
        <bgColor rgb="FFFFD965"/>
      </patternFill>
    </fill>
    <fill>
      <patternFill patternType="solid">
        <fgColor rgb="FF1F3864"/>
        <bgColor rgb="FF1F3864"/>
      </patternFill>
    </fill>
    <fill>
      <patternFill patternType="solid">
        <fgColor rgb="FFD0CECE"/>
        <bgColor rgb="FFD0CECE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vertical="center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8" fillId="0" borderId="2" xfId="0" applyFont="1" applyBorder="1"/>
    <xf numFmtId="44" fontId="3" fillId="0" borderId="1" xfId="0" applyNumberFormat="1" applyFont="1" applyBorder="1" applyAlignment="1">
      <alignment horizontal="left" vertical="center" wrapText="1" indent="1" readingOrder="1"/>
    </xf>
    <xf numFmtId="44" fontId="1" fillId="0" borderId="1" xfId="0" applyNumberFormat="1" applyFont="1" applyBorder="1" applyAlignment="1">
      <alignment horizontal="left" vertical="center" wrapText="1" indent="1" readingOrder="1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8" fillId="0" borderId="2" xfId="0" applyFont="1" applyBorder="1" applyAlignment="1">
      <alignment horizontal="right" vertical="top" wrapText="1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3" fontId="0" fillId="0" borderId="0" xfId="0" applyNumberFormat="1"/>
    <xf numFmtId="44" fontId="0" fillId="0" borderId="0" xfId="0" applyNumberFormat="1"/>
    <xf numFmtId="0" fontId="5" fillId="0" borderId="0" xfId="0" applyFont="1"/>
    <xf numFmtId="0" fontId="13" fillId="0" borderId="2" xfId="0" applyFont="1" applyBorder="1" applyAlignment="1">
      <alignment horizontal="right" vertical="top" wrapText="1"/>
    </xf>
    <xf numFmtId="0" fontId="5" fillId="2" borderId="0" xfId="0" applyFont="1" applyFill="1"/>
    <xf numFmtId="0" fontId="0" fillId="2" borderId="0" xfId="0" applyFill="1"/>
    <xf numFmtId="10" fontId="0" fillId="0" borderId="0" xfId="0" applyNumberFormat="1"/>
    <xf numFmtId="10" fontId="0" fillId="3" borderId="0" xfId="0" applyNumberFormat="1" applyFill="1"/>
    <xf numFmtId="0" fontId="0" fillId="3" borderId="0" xfId="0" applyFill="1"/>
    <xf numFmtId="0" fontId="15" fillId="0" borderId="0" xfId="0" applyFont="1" applyAlignment="1">
      <alignment vertical="top"/>
    </xf>
    <xf numFmtId="3" fontId="5" fillId="0" borderId="0" xfId="0" applyNumberFormat="1" applyFont="1"/>
    <xf numFmtId="0" fontId="16" fillId="0" borderId="0" xfId="0" applyFont="1" applyAlignment="1">
      <alignment vertical="top"/>
    </xf>
    <xf numFmtId="164" fontId="0" fillId="0" borderId="0" xfId="0" applyNumberFormat="1"/>
    <xf numFmtId="0" fontId="12" fillId="0" borderId="0" xfId="0" applyFont="1" applyAlignment="1">
      <alignment horizontal="right" vertical="top" wrapText="1"/>
    </xf>
    <xf numFmtId="165" fontId="10" fillId="0" borderId="0" xfId="0" applyNumberFormat="1" applyFont="1"/>
    <xf numFmtId="0" fontId="17" fillId="0" borderId="0" xfId="0" applyFont="1"/>
    <xf numFmtId="9" fontId="10" fillId="0" borderId="0" xfId="0" applyNumberFormat="1" applyFont="1"/>
    <xf numFmtId="9" fontId="10" fillId="5" borderId="0" xfId="0" applyNumberFormat="1" applyFont="1" applyFill="1"/>
    <xf numFmtId="166" fontId="10" fillId="0" borderId="0" xfId="0" applyNumberFormat="1" applyFont="1"/>
    <xf numFmtId="3" fontId="10" fillId="0" borderId="0" xfId="0" applyNumberFormat="1" applyFont="1"/>
    <xf numFmtId="166" fontId="10" fillId="5" borderId="0" xfId="0" applyNumberFormat="1" applyFont="1" applyFill="1"/>
    <xf numFmtId="0" fontId="10" fillId="0" borderId="2" xfId="0" applyFont="1" applyBorder="1" applyAlignment="1">
      <alignment vertical="top"/>
    </xf>
    <xf numFmtId="3" fontId="10" fillId="0" borderId="2" xfId="0" applyNumberFormat="1" applyFont="1" applyBorder="1"/>
    <xf numFmtId="0" fontId="19" fillId="0" borderId="0" xfId="0" applyFont="1"/>
    <xf numFmtId="0" fontId="10" fillId="0" borderId="2" xfId="0" applyFont="1" applyBorder="1"/>
    <xf numFmtId="165" fontId="10" fillId="0" borderId="2" xfId="0" applyNumberFormat="1" applyFont="1" applyBorder="1"/>
    <xf numFmtId="0" fontId="20" fillId="0" borderId="0" xfId="0" applyFont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20" fillId="0" borderId="0" xfId="0" applyFont="1" applyAlignment="1">
      <alignment vertical="top"/>
    </xf>
    <xf numFmtId="0" fontId="20" fillId="0" borderId="2" xfId="0" applyFont="1" applyBorder="1" applyAlignment="1">
      <alignment vertical="top"/>
    </xf>
    <xf numFmtId="0" fontId="17" fillId="0" borderId="2" xfId="0" applyFont="1" applyBorder="1"/>
    <xf numFmtId="9" fontId="10" fillId="0" borderId="2" xfId="0" applyNumberFormat="1" applyFont="1" applyBorder="1"/>
    <xf numFmtId="0" fontId="21" fillId="0" borderId="0" xfId="0" applyFont="1" applyAlignment="1">
      <alignment vertical="top"/>
    </xf>
    <xf numFmtId="0" fontId="12" fillId="0" borderId="0" xfId="0" applyFont="1"/>
    <xf numFmtId="0" fontId="21" fillId="0" borderId="0" xfId="0" applyFont="1"/>
    <xf numFmtId="167" fontId="20" fillId="0" borderId="0" xfId="0" applyNumberFormat="1" applyFont="1"/>
    <xf numFmtId="165" fontId="20" fillId="0" borderId="2" xfId="0" applyNumberFormat="1" applyFont="1" applyBorder="1"/>
    <xf numFmtId="165" fontId="20" fillId="0" borderId="0" xfId="0" applyNumberFormat="1" applyFont="1"/>
    <xf numFmtId="167" fontId="20" fillId="0" borderId="5" xfId="0" applyNumberFormat="1" applyFont="1" applyBorder="1"/>
    <xf numFmtId="168" fontId="20" fillId="0" borderId="0" xfId="0" applyNumberFormat="1" applyFont="1"/>
    <xf numFmtId="0" fontId="10" fillId="7" borderId="0" xfId="0" applyFont="1" applyFill="1"/>
    <xf numFmtId="0" fontId="11" fillId="0" borderId="2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169" fontId="22" fillId="0" borderId="0" xfId="0" applyNumberFormat="1" applyFont="1"/>
    <xf numFmtId="170" fontId="23" fillId="0" borderId="0" xfId="0" applyNumberFormat="1" applyFont="1"/>
    <xf numFmtId="170" fontId="22" fillId="0" borderId="0" xfId="0" applyNumberFormat="1" applyFont="1"/>
    <xf numFmtId="0" fontId="10" fillId="0" borderId="0" xfId="0" applyFont="1"/>
    <xf numFmtId="0" fontId="10" fillId="0" borderId="8" xfId="0" applyFont="1" applyBorder="1"/>
    <xf numFmtId="10" fontId="10" fillId="0" borderId="9" xfId="0" applyNumberFormat="1" applyFont="1" applyBorder="1"/>
    <xf numFmtId="0" fontId="10" fillId="0" borderId="10" xfId="0" applyFont="1" applyBorder="1"/>
    <xf numFmtId="0" fontId="10" fillId="0" borderId="9" xfId="0" applyFont="1" applyBorder="1"/>
    <xf numFmtId="166" fontId="10" fillId="0" borderId="9" xfId="0" applyNumberFormat="1" applyFont="1" applyBorder="1"/>
    <xf numFmtId="10" fontId="10" fillId="0" borderId="0" xfId="0" applyNumberFormat="1" applyFont="1"/>
    <xf numFmtId="3" fontId="10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72" fontId="0" fillId="0" borderId="0" xfId="0" applyNumberFormat="1"/>
    <xf numFmtId="3" fontId="0" fillId="3" borderId="0" xfId="0" applyNumberFormat="1" applyFill="1"/>
    <xf numFmtId="172" fontId="0" fillId="3" borderId="0" xfId="0" applyNumberFormat="1" applyFill="1"/>
    <xf numFmtId="43" fontId="0" fillId="0" borderId="0" xfId="1" applyFont="1"/>
    <xf numFmtId="0" fontId="24" fillId="6" borderId="4" xfId="0" applyFont="1" applyFill="1" applyBorder="1"/>
    <xf numFmtId="165" fontId="24" fillId="6" borderId="4" xfId="0" applyNumberFormat="1" applyFont="1" applyFill="1" applyBorder="1"/>
    <xf numFmtId="0" fontId="6" fillId="0" borderId="0" xfId="0" applyFont="1"/>
    <xf numFmtId="0" fontId="14" fillId="0" borderId="0" xfId="0" applyFont="1"/>
    <xf numFmtId="165" fontId="10" fillId="0" borderId="14" xfId="0" applyNumberFormat="1" applyFont="1" applyBorder="1"/>
    <xf numFmtId="0" fontId="25" fillId="6" borderId="0" xfId="0" applyFont="1" applyFill="1" applyAlignment="1">
      <alignment vertical="top"/>
    </xf>
    <xf numFmtId="0" fontId="26" fillId="6" borderId="0" xfId="0" applyFont="1" applyFill="1"/>
    <xf numFmtId="165" fontId="26" fillId="6" borderId="0" xfId="0" applyNumberFormat="1" applyFont="1" applyFill="1"/>
    <xf numFmtId="0" fontId="13" fillId="0" borderId="12" xfId="0" applyFont="1" applyBorder="1"/>
    <xf numFmtId="0" fontId="27" fillId="0" borderId="13" xfId="0" applyFont="1" applyBorder="1"/>
    <xf numFmtId="0" fontId="24" fillId="6" borderId="0" xfId="0" applyFont="1" applyFill="1"/>
    <xf numFmtId="166" fontId="24" fillId="6" borderId="0" xfId="0" applyNumberFormat="1" applyFont="1" applyFill="1"/>
    <xf numFmtId="9" fontId="26" fillId="0" borderId="0" xfId="0" applyNumberFormat="1" applyFont="1"/>
    <xf numFmtId="0" fontId="26" fillId="8" borderId="10" xfId="0" applyFont="1" applyFill="1" applyBorder="1"/>
    <xf numFmtId="10" fontId="26" fillId="8" borderId="11" xfId="0" applyNumberFormat="1" applyFont="1" applyFill="1" applyBorder="1"/>
    <xf numFmtId="0" fontId="3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3" fontId="3" fillId="0" borderId="1" xfId="0" applyNumberFormat="1" applyFont="1" applyBorder="1" applyAlignment="1">
      <alignment horizontal="left" vertical="center" wrapText="1" indent="1" readingOrder="1"/>
    </xf>
    <xf numFmtId="0" fontId="30" fillId="0" borderId="0" xfId="0" applyFont="1"/>
    <xf numFmtId="0" fontId="32" fillId="0" borderId="0" xfId="0" applyFont="1" applyAlignment="1">
      <alignment horizontal="center"/>
    </xf>
    <xf numFmtId="0" fontId="33" fillId="0" borderId="0" xfId="2" applyFont="1"/>
    <xf numFmtId="0" fontId="31" fillId="0" borderId="0" xfId="0" applyFont="1"/>
    <xf numFmtId="0" fontId="10" fillId="0" borderId="6" xfId="0" applyFont="1" applyBorder="1" applyAlignment="1">
      <alignment horizontal="center" vertical="center" wrapText="1"/>
    </xf>
    <xf numFmtId="10" fontId="10" fillId="0" borderId="7" xfId="0" applyNumberFormat="1" applyFont="1" applyBorder="1" applyAlignment="1">
      <alignment horizontal="center" vertical="center"/>
    </xf>
    <xf numFmtId="10" fontId="10" fillId="0" borderId="9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0" fillId="0" borderId="0" xfId="0" applyAlignment="1">
      <alignment wrapText="1"/>
    </xf>
    <xf numFmtId="0" fontId="6" fillId="8" borderId="0" xfId="0" applyFont="1" applyFill="1"/>
    <xf numFmtId="43" fontId="6" fillId="8" borderId="0" xfId="0" applyNumberFormat="1" applyFont="1" applyFill="1"/>
    <xf numFmtId="0" fontId="0" fillId="0" borderId="15" xfId="0" applyBorder="1"/>
    <xf numFmtId="10" fontId="5" fillId="0" borderId="15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43" fontId="5" fillId="0" borderId="15" xfId="0" applyNumberFormat="1" applyFont="1" applyBorder="1" applyAlignment="1">
      <alignment horizontal="center" vertical="center"/>
    </xf>
    <xf numFmtId="10" fontId="10" fillId="0" borderId="17" xfId="0" applyNumberFormat="1" applyFont="1" applyBorder="1"/>
    <xf numFmtId="0" fontId="0" fillId="0" borderId="19" xfId="0" applyBorder="1"/>
    <xf numFmtId="166" fontId="10" fillId="0" borderId="17" xfId="0" applyNumberFormat="1" applyFont="1" applyBorder="1"/>
    <xf numFmtId="0" fontId="0" fillId="0" borderId="21" xfId="0" applyBorder="1"/>
    <xf numFmtId="171" fontId="10" fillId="0" borderId="22" xfId="0" applyNumberFormat="1" applyFont="1" applyBorder="1"/>
    <xf numFmtId="171" fontId="10" fillId="0" borderId="21" xfId="0" applyNumberFormat="1" applyFont="1" applyBorder="1"/>
    <xf numFmtId="0" fontId="0" fillId="0" borderId="23" xfId="0" applyBorder="1"/>
    <xf numFmtId="0" fontId="0" fillId="0" borderId="24" xfId="0" applyBorder="1"/>
    <xf numFmtId="166" fontId="10" fillId="0" borderId="24" xfId="0" applyNumberFormat="1" applyFont="1" applyBorder="1"/>
    <xf numFmtId="166" fontId="10" fillId="0" borderId="23" xfId="0" applyNumberFormat="1" applyFont="1" applyBorder="1"/>
    <xf numFmtId="10" fontId="10" fillId="0" borderId="24" xfId="0" applyNumberFormat="1" applyFont="1" applyBorder="1"/>
    <xf numFmtId="0" fontId="0" fillId="0" borderId="0" xfId="0" applyAlignment="1">
      <alignment vertical="center"/>
    </xf>
    <xf numFmtId="0" fontId="8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 vertical="top" wrapText="1"/>
    </xf>
    <xf numFmtId="0" fontId="12" fillId="0" borderId="20" xfId="0" applyFont="1" applyBorder="1" applyAlignment="1">
      <alignment horizontal="center" vertical="top" wrapText="1"/>
    </xf>
    <xf numFmtId="0" fontId="35" fillId="0" borderId="0" xfId="0" applyFont="1"/>
    <xf numFmtId="0" fontId="35" fillId="9" borderId="0" xfId="0" applyFont="1" applyFill="1" applyAlignment="1">
      <alignment horizontal="center"/>
    </xf>
    <xf numFmtId="0" fontId="8" fillId="0" borderId="3" xfId="0" applyFont="1" applyBorder="1" applyAlignment="1">
      <alignment horizontal="center"/>
    </xf>
    <xf numFmtId="0" fontId="7" fillId="0" borderId="0" xfId="0" applyFont="1" applyAlignment="1">
      <alignment horizontal="center" vertical="top"/>
    </xf>
    <xf numFmtId="0" fontId="0" fillId="4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/>
    <xf numFmtId="0" fontId="1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34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403861</xdr:colOff>
      <xdr:row>2</xdr:row>
      <xdr:rowOff>114300</xdr:rowOff>
    </xdr:from>
    <xdr:to>
      <xdr:col>2</xdr:col>
      <xdr:colOff>595087</xdr:colOff>
      <xdr:row>6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421484-0EDE-15FC-DDFC-2F5508284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1" y="297180"/>
          <a:ext cx="1410426" cy="792480"/>
        </a:xfrm>
        <a:prstGeom prst="rect">
          <a:avLst/>
        </a:prstGeom>
      </xdr:spPr>
    </xdr:pic>
    <xdr:clientData/>
  </xdr:twoCellAnchor>
  <xdr:twoCellAnchor>
    <xdr:from>
      <xdr:col>3</xdr:col>
      <xdr:colOff>365760</xdr:colOff>
      <xdr:row>1</xdr:row>
      <xdr:rowOff>121920</xdr:rowOff>
    </xdr:from>
    <xdr:to>
      <xdr:col>6</xdr:col>
      <xdr:colOff>472440</xdr:colOff>
      <xdr:row>7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8B5EBF-8A7B-6BB2-B5EF-609EE03B859D}"/>
            </a:ext>
          </a:extLst>
        </xdr:cNvPr>
        <xdr:cNvSpPr txBox="1"/>
      </xdr:nvSpPr>
      <xdr:spPr>
        <a:xfrm>
          <a:off x="2194560" y="121920"/>
          <a:ext cx="3413760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3</xdr:col>
      <xdr:colOff>373380</xdr:colOff>
      <xdr:row>1</xdr:row>
      <xdr:rowOff>121920</xdr:rowOff>
    </xdr:from>
    <xdr:to>
      <xdr:col>6</xdr:col>
      <xdr:colOff>472440</xdr:colOff>
      <xdr:row>7</xdr:row>
      <xdr:rowOff>76200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D70D7357-9A3C-35FA-56DF-752C6529E6EE}"/>
            </a:ext>
          </a:extLst>
        </xdr:cNvPr>
        <xdr:cNvSpPr txBox="1"/>
      </xdr:nvSpPr>
      <xdr:spPr>
        <a:xfrm>
          <a:off x="2202180" y="121920"/>
          <a:ext cx="3406140" cy="1051560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spcAft>
              <a:spcPts val="400"/>
            </a:spcAft>
            <a:buNone/>
          </a:pPr>
          <a:r>
            <a:rPr lang="en-IN" sz="2000" b="1" kern="1400" spc="-50">
              <a:solidFill>
                <a:srgbClr val="EE0000"/>
              </a:solidFill>
              <a:effectLst/>
              <a:latin typeface="Aptos Display" panose="020B0004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Netflix, Inc. (NFLX): Equity Valuation &amp; Fundamental Analysis – 2024</a:t>
          </a:r>
          <a:endParaRPr lang="en-IN" sz="2400" kern="1400" spc="-50">
            <a:effectLst/>
            <a:latin typeface="Aptos Display" panose="020B000402020202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  <a:buNone/>
          </a:pPr>
          <a:r>
            <a:rPr lang="en-IN" sz="1100" kern="100">
              <a:effectLst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>
    <xdr:from>
      <xdr:col>4</xdr:col>
      <xdr:colOff>419100</xdr:colOff>
      <xdr:row>18</xdr:row>
      <xdr:rowOff>167640</xdr:rowOff>
    </xdr:from>
    <xdr:to>
      <xdr:col>8</xdr:col>
      <xdr:colOff>487680</xdr:colOff>
      <xdr:row>20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C171A76-7B6F-FD44-47AD-C9EC168F419C}"/>
            </a:ext>
          </a:extLst>
        </xdr:cNvPr>
        <xdr:cNvSpPr txBox="1"/>
      </xdr:nvSpPr>
      <xdr:spPr>
        <a:xfrm>
          <a:off x="4335780" y="4587240"/>
          <a:ext cx="250698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Done By:</a:t>
          </a:r>
          <a:r>
            <a:rPr lang="en-IN" sz="1200" b="1" baseline="0"/>
            <a:t> Aswin Chidambaram M</a:t>
          </a:r>
          <a:endParaRPr lang="en-IN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312420</xdr:colOff>
      <xdr:row>2</xdr:row>
      <xdr:rowOff>7620</xdr:rowOff>
    </xdr:from>
    <xdr:to>
      <xdr:col>8</xdr:col>
      <xdr:colOff>380909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A7CA39-1A80-4265-9240-B5CF19DB6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63840" y="373380"/>
          <a:ext cx="678089" cy="381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9</xdr:col>
      <xdr:colOff>68489</xdr:colOff>
      <xdr:row>2</xdr:row>
      <xdr:rowOff>198120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747E5-B6A8-4CBD-B3C0-AE266195E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1980" y="182880"/>
          <a:ext cx="678089" cy="381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</xdr:colOff>
      <xdr:row>9</xdr:row>
      <xdr:rowOff>15240</xdr:rowOff>
    </xdr:from>
    <xdr:to>
      <xdr:col>17</xdr:col>
      <xdr:colOff>160020</xdr:colOff>
      <xdr:row>19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362AA1-862E-24F9-FDB6-16EBE772F4C2}"/>
            </a:ext>
          </a:extLst>
        </xdr:cNvPr>
        <xdr:cNvSpPr/>
      </xdr:nvSpPr>
      <xdr:spPr>
        <a:xfrm>
          <a:off x="11597640" y="1607820"/>
          <a:ext cx="3162300" cy="185928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Note : Calculations for Avg</a:t>
          </a:r>
          <a:r>
            <a:rPr lang="en-IN" sz="1100" baseline="0"/>
            <a:t> Monthly Revenue</a:t>
          </a:r>
          <a:br>
            <a:rPr lang="en-IN" sz="1100" baseline="0"/>
          </a:br>
          <a:r>
            <a:rPr lang="en-IN" sz="1100" baseline="0"/>
            <a:t>1. Paid net membership Additions &amp; Paid membership at end of period was extracted from Netflix 4k Annual Report</a:t>
          </a:r>
        </a:p>
        <a:p>
          <a:pPr algn="l"/>
          <a:r>
            <a:rPr lang="en-IN" sz="1100" baseline="0"/>
            <a:t>2. Used simple average menthod to arrive </a:t>
          </a:r>
          <a:r>
            <a:rPr lang="en-IN" sz="1100" b="1" baseline="0"/>
            <a:t>average paying membership</a:t>
          </a:r>
        </a:p>
        <a:p>
          <a:pPr algn="l"/>
          <a:r>
            <a:rPr lang="en-IN" sz="1100" baseline="0"/>
            <a:t>3. Dividing the revenue by the average paying membership and again dividing it by 12 (No. of Months) gives </a:t>
          </a:r>
          <a:r>
            <a:rPr lang="en-IN" sz="1100" b="1" baseline="0"/>
            <a:t>Average monthly revenue per paying membership</a:t>
          </a:r>
        </a:p>
        <a:p>
          <a:pPr algn="l"/>
          <a:r>
            <a:rPr lang="en-IN" sz="1100" baseline="0"/>
            <a:t> </a:t>
          </a:r>
          <a:endParaRPr lang="en-IN" sz="1100"/>
        </a:p>
      </xdr:txBody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68489</xdr:colOff>
      <xdr:row>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7FCC32-40D5-4FCA-A1D9-B52DFF9DF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9180" y="175260"/>
          <a:ext cx="678089" cy="381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10</xdr:col>
      <xdr:colOff>121920</xdr:colOff>
      <xdr:row>39</xdr:row>
      <xdr:rowOff>45720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2908F7F-443E-4B72-B874-D327874675B2}"/>
            </a:ext>
          </a:extLst>
        </xdr:cNvPr>
        <xdr:cNvSpPr txBox="1"/>
      </xdr:nvSpPr>
      <xdr:spPr>
        <a:xfrm>
          <a:off x="10104120" y="6941820"/>
          <a:ext cx="250698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Done By:</a:t>
          </a:r>
          <a:r>
            <a:rPr lang="en-IN" sz="1200" b="1" baseline="0"/>
            <a:t> Aswin Chidambaram M</a:t>
          </a:r>
          <a:endParaRPr lang="en-IN" sz="12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17</xdr:row>
      <xdr:rowOff>152400</xdr:rowOff>
    </xdr:from>
    <xdr:to>
      <xdr:col>12</xdr:col>
      <xdr:colOff>617220</xdr:colOff>
      <xdr:row>22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B27580-5F63-2687-E64C-F647C43AC620}"/>
            </a:ext>
          </a:extLst>
        </xdr:cNvPr>
        <xdr:cNvSpPr txBox="1"/>
      </xdr:nvSpPr>
      <xdr:spPr>
        <a:xfrm>
          <a:off x="10347960" y="3268980"/>
          <a:ext cx="2186940" cy="861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Days</a:t>
          </a:r>
          <a:r>
            <a:rPr lang="en-IN" sz="1100" baseline="0"/>
            <a:t> Payable Outsatnding = </a:t>
          </a:r>
        </a:p>
        <a:p>
          <a:endParaRPr lang="en-IN" sz="1100" baseline="0"/>
        </a:p>
        <a:p>
          <a:r>
            <a:rPr lang="en-IN" sz="1100" baseline="0"/>
            <a:t>Accounts Payable  / Cost of Goods Sold * 365</a:t>
          </a:r>
        </a:p>
        <a:p>
          <a:endParaRPr lang="en-IN" sz="1100" baseline="0"/>
        </a:p>
        <a:p>
          <a:endParaRPr lang="en-IN" sz="1100" baseline="0"/>
        </a:p>
      </xdr:txBody>
    </xdr:sp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678089</xdr:colOff>
      <xdr:row>3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0317AC-4F16-4036-BF7E-D94846911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7080" y="312420"/>
          <a:ext cx="678089" cy="381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29</xdr:row>
      <xdr:rowOff>0</xdr:rowOff>
    </xdr:from>
    <xdr:to>
      <xdr:col>10</xdr:col>
      <xdr:colOff>358140</xdr:colOff>
      <xdr:row>31</xdr:row>
      <xdr:rowOff>60960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EBC3DD-513A-454A-B0E1-33B5AC3FE73B}"/>
            </a:ext>
          </a:extLst>
        </xdr:cNvPr>
        <xdr:cNvSpPr txBox="1"/>
      </xdr:nvSpPr>
      <xdr:spPr>
        <a:xfrm>
          <a:off x="8183880" y="5219700"/>
          <a:ext cx="250698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Done By:</a:t>
          </a:r>
          <a:r>
            <a:rPr lang="en-IN" sz="1200" b="1" baseline="0"/>
            <a:t> Aswin Chidambaram M</a:t>
          </a:r>
          <a:endParaRPr lang="en-IN" sz="12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3</xdr:row>
      <xdr:rowOff>53340</xdr:rowOff>
    </xdr:from>
    <xdr:to>
      <xdr:col>16</xdr:col>
      <xdr:colOff>434340</xdr:colOff>
      <xdr:row>6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EAB0B5-45BF-6B49-F5E0-551CF509EDA9}"/>
            </a:ext>
          </a:extLst>
        </xdr:cNvPr>
        <xdr:cNvSpPr txBox="1"/>
      </xdr:nvSpPr>
      <xdr:spPr>
        <a:xfrm>
          <a:off x="8328660" y="601980"/>
          <a:ext cx="3368040" cy="586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  <a:p>
          <a:r>
            <a:rPr lang="en-IN" sz="1100"/>
            <a:t>Useful Life = (Beginning Balance + Capex) / Depreciation</a:t>
          </a:r>
        </a:p>
      </xdr:txBody>
    </xdr:sp>
    <xdr:clientData/>
  </xdr:twoCellAnchor>
  <xdr:twoCellAnchor editAs="oneCell">
    <xdr:from>
      <xdr:col>9</xdr:col>
      <xdr:colOff>563880</xdr:colOff>
      <xdr:row>9</xdr:row>
      <xdr:rowOff>91440</xdr:rowOff>
    </xdr:from>
    <xdr:to>
      <xdr:col>22</xdr:col>
      <xdr:colOff>31121</xdr:colOff>
      <xdr:row>26</xdr:row>
      <xdr:rowOff>152675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508630-2349-756E-5070-5F030DD16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4020" y="1737360"/>
          <a:ext cx="7392041" cy="3170195"/>
        </a:xfrm>
        <a:prstGeom prst="rect">
          <a:avLst/>
        </a:prstGeom>
      </xdr:spPr>
    </xdr:pic>
    <xdr:clientData/>
  </xdr:twoCellAnchor>
  <xdr:twoCellAnchor editAs="oneCell">
    <xdr:from>
      <xdr:col>16</xdr:col>
      <xdr:colOff>388620</xdr:colOff>
      <xdr:row>0</xdr:row>
      <xdr:rowOff>114300</xdr:rowOff>
    </xdr:from>
    <xdr:to>
      <xdr:col>17</xdr:col>
      <xdr:colOff>457109</xdr:colOff>
      <xdr:row>2</xdr:row>
      <xdr:rowOff>129540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238E15-C924-454C-96A7-8AEF526A2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95960" y="114300"/>
          <a:ext cx="678089" cy="381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31</xdr:row>
      <xdr:rowOff>0</xdr:rowOff>
    </xdr:from>
    <xdr:to>
      <xdr:col>10</xdr:col>
      <xdr:colOff>464820</xdr:colOff>
      <xdr:row>33</xdr:row>
      <xdr:rowOff>45720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A9BFC18-8757-444E-954A-D39952474B2D}"/>
            </a:ext>
          </a:extLst>
        </xdr:cNvPr>
        <xdr:cNvSpPr txBox="1"/>
      </xdr:nvSpPr>
      <xdr:spPr>
        <a:xfrm>
          <a:off x="7307580" y="5669280"/>
          <a:ext cx="250698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Done By:</a:t>
          </a:r>
          <a:r>
            <a:rPr lang="en-IN" sz="1200" b="1" baseline="0"/>
            <a:t> Aswin Chidambaram M</a:t>
          </a:r>
          <a:endParaRPr lang="en-IN" sz="12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91440</xdr:colOff>
      <xdr:row>0</xdr:row>
      <xdr:rowOff>213360</xdr:rowOff>
    </xdr:from>
    <xdr:to>
      <xdr:col>11</xdr:col>
      <xdr:colOff>769529</xdr:colOff>
      <xdr:row>2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343A5A-BB7B-4094-9C52-024061447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213360"/>
          <a:ext cx="678089" cy="381000"/>
        </a:xfrm>
        <a:prstGeom prst="rect">
          <a:avLst/>
        </a:prstGeom>
      </xdr:spPr>
    </xdr:pic>
    <xdr:clientData/>
  </xdr:twoCellAnchor>
  <xdr:twoCellAnchor>
    <xdr:from>
      <xdr:col>5</xdr:col>
      <xdr:colOff>342900</xdr:colOff>
      <xdr:row>23</xdr:row>
      <xdr:rowOff>60960</xdr:rowOff>
    </xdr:from>
    <xdr:to>
      <xdr:col>7</xdr:col>
      <xdr:colOff>929640</xdr:colOff>
      <xdr:row>25</xdr:row>
      <xdr:rowOff>121920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13B8C29-0789-44A6-867C-653EE5B58C44}"/>
            </a:ext>
          </a:extLst>
        </xdr:cNvPr>
        <xdr:cNvSpPr txBox="1"/>
      </xdr:nvSpPr>
      <xdr:spPr>
        <a:xfrm>
          <a:off x="6332220" y="4229100"/>
          <a:ext cx="250698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Done By:</a:t>
          </a:r>
          <a:r>
            <a:rPr lang="en-IN" sz="1200" b="1" baseline="0"/>
            <a:t> Aswin Chidambaram M</a:t>
          </a:r>
          <a:endParaRPr lang="en-IN" sz="12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678089</xdr:colOff>
      <xdr:row>3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0B0688-98F8-4047-B37F-2C3FD9280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2320" y="312420"/>
          <a:ext cx="678089" cy="3810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7</xdr:col>
      <xdr:colOff>640080</xdr:colOff>
      <xdr:row>40</xdr:row>
      <xdr:rowOff>60960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0AB426-4B02-4A8F-A7BE-31E6F6EA883B}"/>
            </a:ext>
          </a:extLst>
        </xdr:cNvPr>
        <xdr:cNvSpPr txBox="1"/>
      </xdr:nvSpPr>
      <xdr:spPr>
        <a:xfrm>
          <a:off x="6522720" y="6797040"/>
          <a:ext cx="250698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Done By:</a:t>
          </a:r>
          <a:r>
            <a:rPr lang="en-IN" sz="1200" b="1" baseline="0"/>
            <a:t> Aswin Chidambaram M</a:t>
          </a:r>
          <a:endParaRPr lang="en-IN" sz="12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11</xdr:col>
      <xdr:colOff>678089</xdr:colOff>
      <xdr:row>3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47E5FB-62A1-4417-982D-0EED65F14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312420"/>
          <a:ext cx="678089" cy="3810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7</xdr:col>
      <xdr:colOff>693420</xdr:colOff>
      <xdr:row>29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DEF84F-B40B-47F7-A450-C48624100345}"/>
            </a:ext>
          </a:extLst>
        </xdr:cNvPr>
        <xdr:cNvSpPr txBox="1"/>
      </xdr:nvSpPr>
      <xdr:spPr>
        <a:xfrm>
          <a:off x="5097780" y="5067300"/>
          <a:ext cx="250698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Done By:</a:t>
          </a:r>
          <a:r>
            <a:rPr lang="en-IN" sz="1200" b="1" baseline="0"/>
            <a:t> Aswin Chidambaram M</a:t>
          </a:r>
          <a:endParaRPr lang="en-IN" sz="12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510540</xdr:colOff>
      <xdr:row>4</xdr:row>
      <xdr:rowOff>95250</xdr:rowOff>
    </xdr:from>
    <xdr:ext cx="4067175" cy="1790700"/>
    <xdr:pic>
      <xdr:nvPicPr>
        <xdr:cNvPr id="2" name="image2.png">
          <a:extLst>
            <a:ext uri="{FF2B5EF4-FFF2-40B4-BE49-F238E27FC236}">
              <a16:creationId xmlns:a16="http://schemas.microsoft.com/office/drawing/2014/main" id="{21E8CE1F-F84F-4759-BBB5-097278C794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52360" y="1344930"/>
          <a:ext cx="4067175" cy="17907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16</xdr:col>
      <xdr:colOff>373380</xdr:colOff>
      <xdr:row>1</xdr:row>
      <xdr:rowOff>7620</xdr:rowOff>
    </xdr:from>
    <xdr:to>
      <xdr:col>17</xdr:col>
      <xdr:colOff>60869</xdr:colOff>
      <xdr:row>2</xdr:row>
      <xdr:rowOff>198120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26F599-B803-474D-A5CB-DF8DC4332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35280"/>
          <a:ext cx="678089" cy="3810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8</xdr:col>
      <xdr:colOff>259080</xdr:colOff>
      <xdr:row>21</xdr:row>
      <xdr:rowOff>45720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5EA8B0-1E41-4BD1-A5F1-7CED2670DB33}"/>
            </a:ext>
          </a:extLst>
        </xdr:cNvPr>
        <xdr:cNvSpPr txBox="1"/>
      </xdr:nvSpPr>
      <xdr:spPr>
        <a:xfrm>
          <a:off x="4427220" y="4130040"/>
          <a:ext cx="250698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Done By:</a:t>
          </a:r>
          <a:r>
            <a:rPr lang="en-IN" sz="1200" b="1" baseline="0"/>
            <a:t> Aswin Chidambaram M</a:t>
          </a:r>
          <a:endParaRPr lang="en-IN" sz="12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718185</xdr:colOff>
      <xdr:row>16</xdr:row>
      <xdr:rowOff>40005</xdr:rowOff>
    </xdr:from>
    <xdr:ext cx="2276475" cy="1266825"/>
    <xdr:pic>
      <xdr:nvPicPr>
        <xdr:cNvPr id="2" name="image3.png">
          <a:extLst>
            <a:ext uri="{FF2B5EF4-FFF2-40B4-BE49-F238E27FC236}">
              <a16:creationId xmlns:a16="http://schemas.microsoft.com/office/drawing/2014/main" id="{43F3E76D-3640-48FA-A81F-3719D17E991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14725" y="2996565"/>
          <a:ext cx="2276475" cy="12668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487680</xdr:colOff>
      <xdr:row>0</xdr:row>
      <xdr:rowOff>312420</xdr:rowOff>
    </xdr:from>
    <xdr:to>
      <xdr:col>7</xdr:col>
      <xdr:colOff>571409</xdr:colOff>
      <xdr:row>3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43D803-3884-4B1C-BA45-AC7AE3B20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9920" y="312420"/>
          <a:ext cx="678089" cy="3810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5</xdr:col>
      <xdr:colOff>403860</xdr:colOff>
      <xdr:row>27</xdr:row>
      <xdr:rowOff>60960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DC1F87-CBD3-46B9-9F8D-0399220AFA50}"/>
            </a:ext>
          </a:extLst>
        </xdr:cNvPr>
        <xdr:cNvSpPr txBox="1"/>
      </xdr:nvSpPr>
      <xdr:spPr>
        <a:xfrm>
          <a:off x="3794760" y="4724400"/>
          <a:ext cx="2506980" cy="411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Done By:</a:t>
          </a:r>
          <a:r>
            <a:rPr lang="en-IN" sz="1200" b="1" baseline="0"/>
            <a:t> Aswin Chidambaram M</a:t>
          </a:r>
          <a:endParaRPr lang="en-IN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3F89C-6E46-4754-A663-D5A35665776B}">
  <dimension ref="B9:K19"/>
  <sheetViews>
    <sheetView tabSelected="1" workbookViewId="0">
      <selection activeCell="I13" sqref="I13"/>
    </sheetView>
  </sheetViews>
  <sheetFormatPr defaultRowHeight="14.4"/>
  <cols>
    <col min="4" max="4" width="30.44140625" bestFit="1" customWidth="1"/>
  </cols>
  <sheetData>
    <row r="9" spans="2:11" ht="31.2">
      <c r="B9" s="121" t="s">
        <v>166</v>
      </c>
      <c r="C9" s="121"/>
      <c r="D9" s="121"/>
      <c r="E9" s="121"/>
      <c r="F9" s="120"/>
      <c r="G9" s="120"/>
      <c r="H9" s="93"/>
      <c r="I9" s="93"/>
      <c r="J9" s="93"/>
      <c r="K9" s="93"/>
    </row>
    <row r="11" spans="2:11" ht="23.4">
      <c r="C11" s="90" t="s">
        <v>167</v>
      </c>
      <c r="D11" s="90" t="s">
        <v>164</v>
      </c>
    </row>
    <row r="12" spans="2:11" ht="23.4">
      <c r="C12" s="91">
        <v>1</v>
      </c>
      <c r="D12" s="92" t="s">
        <v>165</v>
      </c>
    </row>
    <row r="13" spans="2:11" ht="23.4">
      <c r="C13" s="91">
        <v>2</v>
      </c>
      <c r="D13" s="92" t="s">
        <v>71</v>
      </c>
    </row>
    <row r="14" spans="2:11" ht="23.4">
      <c r="C14" s="91">
        <v>3</v>
      </c>
      <c r="D14" s="92" t="s">
        <v>168</v>
      </c>
    </row>
    <row r="15" spans="2:11" ht="23.4">
      <c r="C15" s="91">
        <v>4</v>
      </c>
      <c r="D15" s="92" t="s">
        <v>169</v>
      </c>
    </row>
    <row r="16" spans="2:11" ht="23.4">
      <c r="C16" s="91">
        <v>5</v>
      </c>
      <c r="D16" s="92" t="s">
        <v>170</v>
      </c>
    </row>
    <row r="17" spans="3:4" ht="23.4">
      <c r="C17" s="91">
        <v>6</v>
      </c>
      <c r="D17" s="92" t="s">
        <v>171</v>
      </c>
    </row>
    <row r="18" spans="3:4" ht="23.4">
      <c r="C18" s="91">
        <v>7</v>
      </c>
      <c r="D18" s="92" t="s">
        <v>140</v>
      </c>
    </row>
    <row r="19" spans="3:4" ht="23.4">
      <c r="C19" s="91">
        <v>8</v>
      </c>
      <c r="D19" s="92" t="s">
        <v>172</v>
      </c>
    </row>
  </sheetData>
  <mergeCells count="1">
    <mergeCell ref="B9:E9"/>
  </mergeCells>
  <hyperlinks>
    <hyperlink ref="D12" location="'Revenue Modelling'!A1" display="Revenue Modelling" xr:uid="{3067DD7F-EF9F-47FE-BD4E-EA07C961501E}"/>
    <hyperlink ref="D13" location="'Other Items'!A1" display="Other Items" xr:uid="{B631BC0E-E046-4E0E-B7B7-F9BB6732A8A6}"/>
    <hyperlink ref="D14" location="Schedules!A1" display="Schedules" xr:uid="{39CC507A-A249-4220-9224-5DB301E839D1}"/>
    <hyperlink ref="D15" location="'P&amp;L'!A1" display="P&amp;L" xr:uid="{09A5B8A6-33B1-4E2C-BFCF-A7BE62C504F1}"/>
    <hyperlink ref="D16" location="'Balance Sheet'!A1" display="Balance Sheet" xr:uid="{5402ADD5-381E-4CCE-A019-E127EE9BB284}"/>
    <hyperlink ref="D17" location="'Cashflow Statement'!A1" display="Cash Flow Statement" xr:uid="{3B39C8C9-F255-4875-92D8-DCF9C9EF55F9}"/>
    <hyperlink ref="D18" location="WACC!A1" display="WACC" xr:uid="{E5C8FB81-F6B1-4D20-9ADB-82A5CA56EB82}"/>
    <hyperlink ref="D19" location="DCF!A1" display="DCF" xr:uid="{AA999641-93DB-44BA-88B4-832376B74311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0C11-10E4-4995-A24D-633790127509}">
  <dimension ref="B2:F20"/>
  <sheetViews>
    <sheetView topLeftCell="A2" workbookViewId="0">
      <selection activeCell="I3" sqref="I3"/>
    </sheetView>
  </sheetViews>
  <sheetFormatPr defaultRowHeight="14.4"/>
  <cols>
    <col min="3" max="3" width="27.44140625" bestFit="1" customWidth="1"/>
    <col min="4" max="6" width="18.6640625" bestFit="1" customWidth="1"/>
  </cols>
  <sheetData>
    <row r="2" spans="2:6">
      <c r="B2" s="1"/>
    </row>
    <row r="3" spans="2:6" ht="24.6">
      <c r="C3" s="123" t="s">
        <v>43</v>
      </c>
      <c r="D3" s="123"/>
      <c r="E3" s="123"/>
      <c r="F3" s="123"/>
    </row>
    <row r="5" spans="2:6" ht="15" thickBot="1">
      <c r="D5" s="122" t="s">
        <v>44</v>
      </c>
      <c r="E5" s="122"/>
      <c r="F5" s="122"/>
    </row>
    <row r="6" spans="2:6" ht="15" thickBot="1">
      <c r="C6" s="2" t="s">
        <v>2</v>
      </c>
      <c r="D6" s="2" t="s">
        <v>3</v>
      </c>
      <c r="E6" s="2" t="s">
        <v>4</v>
      </c>
      <c r="F6" s="2" t="s">
        <v>5</v>
      </c>
    </row>
    <row r="7" spans="2:6" ht="15" thickBot="1">
      <c r="C7" s="2" t="s">
        <v>0</v>
      </c>
      <c r="D7" s="5">
        <v>39000966</v>
      </c>
      <c r="E7" s="5">
        <v>33723297</v>
      </c>
      <c r="F7" s="5">
        <v>31615550</v>
      </c>
    </row>
    <row r="8" spans="2:6" ht="15" thickBot="1">
      <c r="C8" s="3" t="s">
        <v>1</v>
      </c>
      <c r="D8" s="6">
        <v>21038464</v>
      </c>
      <c r="E8" s="6">
        <v>19715368</v>
      </c>
      <c r="F8" s="6">
        <v>19168285</v>
      </c>
    </row>
    <row r="9" spans="2:6" ht="15" thickBot="1">
      <c r="C9" s="3" t="s">
        <v>6</v>
      </c>
      <c r="D9" s="6">
        <v>2917554</v>
      </c>
      <c r="E9" s="6">
        <v>2657883</v>
      </c>
      <c r="F9" s="6">
        <v>2530502</v>
      </c>
    </row>
    <row r="10" spans="2:6" ht="28.2" thickBot="1">
      <c r="C10" s="3" t="s">
        <v>7</v>
      </c>
      <c r="D10" s="6">
        <v>2925295</v>
      </c>
      <c r="E10" s="6">
        <v>2675758</v>
      </c>
      <c r="F10" s="6">
        <v>2711041</v>
      </c>
    </row>
    <row r="11" spans="2:6" ht="15" thickBot="1">
      <c r="C11" s="3" t="s">
        <v>8</v>
      </c>
      <c r="D11" s="6">
        <v>1702039</v>
      </c>
      <c r="E11" s="6">
        <v>1720285</v>
      </c>
      <c r="F11" s="6">
        <v>1572891</v>
      </c>
    </row>
    <row r="12" spans="2:6" ht="15" thickBot="1">
      <c r="C12" s="2" t="s">
        <v>9</v>
      </c>
      <c r="D12" s="5">
        <v>10417614</v>
      </c>
      <c r="E12" s="5">
        <v>6954003</v>
      </c>
      <c r="F12" s="5">
        <v>5632831</v>
      </c>
    </row>
    <row r="13" spans="2:6" ht="15" thickBot="1">
      <c r="C13" s="3" t="s">
        <v>10</v>
      </c>
      <c r="D13" s="6"/>
      <c r="E13" s="6"/>
      <c r="F13" s="6"/>
    </row>
    <row r="14" spans="2:6" ht="15" thickBot="1">
      <c r="C14" s="3" t="s">
        <v>11</v>
      </c>
      <c r="D14" s="6">
        <v>-718733</v>
      </c>
      <c r="E14" s="6">
        <v>-699826</v>
      </c>
      <c r="F14" s="6">
        <v>-706212</v>
      </c>
    </row>
    <row r="15" spans="2:6" ht="28.2" thickBot="1">
      <c r="C15" s="3" t="s">
        <v>12</v>
      </c>
      <c r="D15" s="6">
        <v>266776</v>
      </c>
      <c r="E15" s="6">
        <v>-48772</v>
      </c>
      <c r="F15" s="6">
        <v>337310</v>
      </c>
    </row>
    <row r="16" spans="2:6" ht="28.2" thickBot="1">
      <c r="C16" s="2" t="s">
        <v>13</v>
      </c>
      <c r="D16" s="5">
        <v>9965657</v>
      </c>
      <c r="E16" s="5">
        <v>6205405</v>
      </c>
      <c r="F16" s="5">
        <v>5263929</v>
      </c>
    </row>
    <row r="17" spans="3:6" ht="15" thickBot="1">
      <c r="C17" s="3" t="s">
        <v>14</v>
      </c>
      <c r="D17" s="6">
        <v>-1254026</v>
      </c>
      <c r="E17" s="6">
        <v>-797415</v>
      </c>
      <c r="F17" s="6">
        <v>-772005</v>
      </c>
    </row>
    <row r="18" spans="3:6" ht="15" thickBot="1">
      <c r="C18" s="2" t="s">
        <v>15</v>
      </c>
      <c r="D18" s="5">
        <v>8711631</v>
      </c>
      <c r="E18" s="5">
        <v>5407990</v>
      </c>
      <c r="F18" s="5">
        <v>4491924</v>
      </c>
    </row>
    <row r="19" spans="3:6">
      <c r="C19" s="1"/>
    </row>
    <row r="20" spans="3:6">
      <c r="C20" s="1"/>
    </row>
  </sheetData>
  <mergeCells count="2">
    <mergeCell ref="D5:F5"/>
    <mergeCell ref="C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2807-7C68-4CAB-B84B-515AB3061527}">
  <dimension ref="C3:F35"/>
  <sheetViews>
    <sheetView workbookViewId="0">
      <selection activeCell="I2" sqref="I2"/>
    </sheetView>
  </sheetViews>
  <sheetFormatPr defaultRowHeight="14.4"/>
  <cols>
    <col min="3" max="3" width="44.88671875" customWidth="1"/>
    <col min="4" max="4" width="13.6640625" bestFit="1" customWidth="1"/>
    <col min="5" max="6" width="12.88671875" bestFit="1" customWidth="1"/>
  </cols>
  <sheetData>
    <row r="3" spans="3:6" ht="24.6">
      <c r="C3" s="123" t="s">
        <v>45</v>
      </c>
      <c r="D3" s="123"/>
      <c r="E3" s="123"/>
      <c r="F3" s="123"/>
    </row>
    <row r="5" spans="3:6" ht="15" thickBot="1">
      <c r="D5" s="122" t="s">
        <v>44</v>
      </c>
      <c r="E5" s="122"/>
    </row>
    <row r="6" spans="3:6" ht="15" thickBot="1">
      <c r="C6" s="86" t="s">
        <v>2</v>
      </c>
      <c r="D6" s="2" t="s">
        <v>3</v>
      </c>
      <c r="E6" s="2" t="s">
        <v>4</v>
      </c>
      <c r="F6" s="2" t="s">
        <v>5</v>
      </c>
    </row>
    <row r="7" spans="3:6" ht="15" thickBot="1">
      <c r="C7" s="86" t="s">
        <v>16</v>
      </c>
      <c r="D7" s="3"/>
      <c r="E7" s="3"/>
      <c r="F7" s="3"/>
    </row>
    <row r="8" spans="3:6" ht="15" thickBot="1">
      <c r="C8" s="87" t="s">
        <v>17</v>
      </c>
      <c r="D8" s="3"/>
      <c r="E8" s="3"/>
      <c r="F8" s="3"/>
    </row>
    <row r="9" spans="3:6" ht="15" thickBot="1">
      <c r="C9" s="87" t="s">
        <v>18</v>
      </c>
      <c r="D9" s="88">
        <v>7804733</v>
      </c>
      <c r="E9" s="88">
        <v>7116913</v>
      </c>
      <c r="F9" s="88">
        <v>5147176</v>
      </c>
    </row>
    <row r="10" spans="3:6" ht="15" thickBot="1">
      <c r="C10" s="87" t="s">
        <v>19</v>
      </c>
      <c r="D10" s="88">
        <v>1779006</v>
      </c>
      <c r="E10" s="88">
        <v>20973</v>
      </c>
      <c r="F10" s="88">
        <v>911276</v>
      </c>
    </row>
    <row r="11" spans="3:6" ht="15" thickBot="1">
      <c r="C11" s="87" t="s">
        <v>20</v>
      </c>
      <c r="D11" s="88">
        <v>3516640</v>
      </c>
      <c r="E11" s="88">
        <v>2780247</v>
      </c>
      <c r="F11" s="88">
        <v>3208021</v>
      </c>
    </row>
    <row r="12" spans="3:6" ht="15" thickBot="1">
      <c r="C12" s="86" t="s">
        <v>21</v>
      </c>
      <c r="D12" s="89">
        <v>13100379</v>
      </c>
      <c r="E12" s="89">
        <v>9918133</v>
      </c>
      <c r="F12" s="89">
        <v>9266473</v>
      </c>
    </row>
    <row r="13" spans="3:6" ht="15" thickBot="1">
      <c r="C13" s="87" t="s">
        <v>22</v>
      </c>
      <c r="D13" s="88">
        <v>32452462</v>
      </c>
      <c r="E13" s="88">
        <v>31658056</v>
      </c>
      <c r="F13" s="88">
        <v>32736713</v>
      </c>
    </row>
    <row r="14" spans="3:6" ht="15" thickBot="1">
      <c r="C14" s="87" t="s">
        <v>23</v>
      </c>
      <c r="D14" s="88">
        <v>1593756</v>
      </c>
      <c r="E14" s="88">
        <v>1491444</v>
      </c>
      <c r="F14" s="88">
        <v>1398257</v>
      </c>
    </row>
    <row r="15" spans="3:6" ht="15" thickBot="1">
      <c r="C15" s="87" t="s">
        <v>24</v>
      </c>
      <c r="D15" s="88">
        <v>6483777</v>
      </c>
      <c r="E15" s="88">
        <v>5664359</v>
      </c>
      <c r="F15" s="88">
        <v>5193325</v>
      </c>
    </row>
    <row r="16" spans="3:6" ht="15" thickBot="1">
      <c r="C16" s="86" t="s">
        <v>25</v>
      </c>
      <c r="D16" s="89">
        <v>53630374</v>
      </c>
      <c r="E16" s="89">
        <v>48731992</v>
      </c>
      <c r="F16" s="89">
        <v>48594768</v>
      </c>
    </row>
    <row r="17" spans="3:6" ht="15" thickBot="1">
      <c r="C17" s="86" t="s">
        <v>26</v>
      </c>
      <c r="D17" s="3"/>
      <c r="E17" s="3"/>
      <c r="F17" s="3"/>
    </row>
    <row r="18" spans="3:6" ht="15" thickBot="1">
      <c r="C18" s="87" t="s">
        <v>27</v>
      </c>
      <c r="D18" s="3"/>
      <c r="E18" s="3"/>
      <c r="F18" s="3"/>
    </row>
    <row r="19" spans="3:6" ht="15" thickBot="1">
      <c r="C19" s="87" t="s">
        <v>28</v>
      </c>
      <c r="D19" s="88">
        <v>4393681</v>
      </c>
      <c r="E19" s="88">
        <v>4466470</v>
      </c>
      <c r="F19" s="88">
        <v>4480150</v>
      </c>
    </row>
    <row r="20" spans="3:6" ht="15" thickBot="1">
      <c r="C20" s="87" t="s">
        <v>29</v>
      </c>
      <c r="D20" s="88">
        <v>899909</v>
      </c>
      <c r="E20" s="88">
        <v>747412</v>
      </c>
      <c r="F20" s="88">
        <v>671513</v>
      </c>
    </row>
    <row r="21" spans="3:6" ht="15" thickBot="1">
      <c r="C21" s="87" t="s">
        <v>30</v>
      </c>
      <c r="D21" s="88">
        <v>2156544</v>
      </c>
      <c r="E21" s="88">
        <v>1803960</v>
      </c>
      <c r="F21" s="88">
        <v>1514650</v>
      </c>
    </row>
    <row r="22" spans="3:6" ht="15" thickBot="1">
      <c r="C22" s="87" t="s">
        <v>31</v>
      </c>
      <c r="D22" s="88">
        <v>1520813</v>
      </c>
      <c r="E22" s="88">
        <v>1442969</v>
      </c>
      <c r="F22" s="88">
        <v>1264661</v>
      </c>
    </row>
    <row r="23" spans="3:6" ht="15" thickBot="1">
      <c r="C23" s="87" t="s">
        <v>32</v>
      </c>
      <c r="D23" s="88">
        <v>1784453</v>
      </c>
      <c r="E23" s="88">
        <v>399844</v>
      </c>
      <c r="F23" s="88" t="s">
        <v>160</v>
      </c>
    </row>
    <row r="24" spans="3:6" ht="15" thickBot="1">
      <c r="C24" s="86" t="s">
        <v>33</v>
      </c>
      <c r="D24" s="89">
        <v>10755400</v>
      </c>
      <c r="E24" s="89">
        <v>8860655</v>
      </c>
      <c r="F24" s="89">
        <v>7930974</v>
      </c>
    </row>
    <row r="25" spans="3:6" ht="15" thickBot="1">
      <c r="C25" s="87" t="s">
        <v>34</v>
      </c>
      <c r="D25" s="88">
        <v>1780806</v>
      </c>
      <c r="E25" s="88">
        <v>2578173</v>
      </c>
      <c r="F25" s="88">
        <v>3081277</v>
      </c>
    </row>
    <row r="26" spans="3:6" ht="15" thickBot="1">
      <c r="C26" s="87" t="s">
        <v>35</v>
      </c>
      <c r="D26" s="88">
        <v>13798351</v>
      </c>
      <c r="E26" s="88">
        <v>14143417</v>
      </c>
      <c r="F26" s="88">
        <v>14353076</v>
      </c>
    </row>
    <row r="27" spans="3:6" ht="15" thickBot="1">
      <c r="C27" s="87" t="s">
        <v>36</v>
      </c>
      <c r="D27" s="88">
        <v>2552250</v>
      </c>
      <c r="E27" s="88">
        <v>2561434</v>
      </c>
      <c r="F27" s="88">
        <v>2452040</v>
      </c>
    </row>
    <row r="28" spans="3:6" ht="15" thickBot="1">
      <c r="C28" s="86" t="s">
        <v>37</v>
      </c>
      <c r="D28" s="89">
        <v>28886807</v>
      </c>
      <c r="E28" s="89">
        <v>28143679</v>
      </c>
      <c r="F28" s="89">
        <v>27817367</v>
      </c>
    </row>
    <row r="29" spans="3:6" ht="15" thickBot="1">
      <c r="C29" s="87" t="s">
        <v>38</v>
      </c>
      <c r="D29" s="3"/>
      <c r="E29" s="3"/>
      <c r="F29" s="3"/>
    </row>
    <row r="30" spans="3:6" ht="15" thickBot="1">
      <c r="C30" s="3" t="s">
        <v>46</v>
      </c>
      <c r="D30" s="88">
        <v>6252126</v>
      </c>
      <c r="E30" s="88">
        <v>5145172</v>
      </c>
      <c r="F30" s="88">
        <v>4637601</v>
      </c>
    </row>
    <row r="31" spans="3:6" ht="15" thickBot="1">
      <c r="C31" s="3" t="s">
        <v>47</v>
      </c>
      <c r="D31" s="88">
        <v>-13171638</v>
      </c>
      <c r="E31" s="88">
        <v>-6922200</v>
      </c>
      <c r="F31" s="88">
        <v>-824190</v>
      </c>
    </row>
    <row r="32" spans="3:6" ht="28.2" thickBot="1">
      <c r="C32" s="3" t="s">
        <v>39</v>
      </c>
      <c r="D32" s="88">
        <v>362162</v>
      </c>
      <c r="E32" s="88">
        <v>-223945</v>
      </c>
      <c r="F32" s="88">
        <v>-217306</v>
      </c>
    </row>
    <row r="33" spans="3:6" ht="15" thickBot="1">
      <c r="C33" s="87" t="s">
        <v>40</v>
      </c>
      <c r="D33" s="88">
        <v>31300917</v>
      </c>
      <c r="E33" s="88">
        <v>22589286</v>
      </c>
      <c r="F33" s="88">
        <v>17181296</v>
      </c>
    </row>
    <row r="34" spans="3:6" ht="15" thickBot="1">
      <c r="C34" s="86" t="s">
        <v>41</v>
      </c>
      <c r="D34" s="89">
        <v>24743567</v>
      </c>
      <c r="E34" s="89">
        <v>20588313</v>
      </c>
      <c r="F34" s="89">
        <v>20777401</v>
      </c>
    </row>
    <row r="35" spans="3:6" ht="15" thickBot="1">
      <c r="C35" s="86" t="s">
        <v>42</v>
      </c>
      <c r="D35" s="89">
        <v>53630374</v>
      </c>
      <c r="E35" s="89">
        <v>48731992</v>
      </c>
      <c r="F35" s="89">
        <v>48594768</v>
      </c>
    </row>
  </sheetData>
  <mergeCells count="2">
    <mergeCell ref="C3:F3"/>
    <mergeCell ref="D5:E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58A1-2817-4102-BA47-E808A61F1119}">
  <dimension ref="A1:K34"/>
  <sheetViews>
    <sheetView workbookViewId="0">
      <pane ySplit="2" topLeftCell="A18" activePane="bottomLeft" state="frozen"/>
      <selection pane="bottomLeft" activeCell="H38" sqref="H38"/>
    </sheetView>
  </sheetViews>
  <sheetFormatPr defaultRowHeight="14.4"/>
  <cols>
    <col min="1" max="1" width="59.33203125" customWidth="1"/>
    <col min="2" max="2" width="13.5546875" bestFit="1" customWidth="1"/>
    <col min="3" max="3" width="13.6640625" customWidth="1"/>
    <col min="4" max="4" width="13" customWidth="1"/>
    <col min="5" max="5" width="15.33203125" bestFit="1" customWidth="1"/>
    <col min="6" max="6" width="16.88671875" customWidth="1"/>
    <col min="7" max="7" width="15.5546875" customWidth="1"/>
    <col min="8" max="8" width="17" customWidth="1"/>
  </cols>
  <sheetData>
    <row r="1" spans="1:11" ht="14.25" customHeight="1">
      <c r="A1" s="7" t="s">
        <v>48</v>
      </c>
      <c r="B1" s="8"/>
      <c r="C1" s="8"/>
      <c r="D1" s="8"/>
      <c r="E1" s="8"/>
      <c r="F1" s="8"/>
      <c r="G1" s="8"/>
      <c r="H1" s="8"/>
    </row>
    <row r="2" spans="1:11" ht="24">
      <c r="A2" s="4" t="s">
        <v>44</v>
      </c>
      <c r="B2" s="9" t="s">
        <v>49</v>
      </c>
      <c r="C2" s="9" t="s">
        <v>50</v>
      </c>
      <c r="D2" s="9" t="s">
        <v>51</v>
      </c>
      <c r="E2" s="15" t="s">
        <v>62</v>
      </c>
      <c r="F2" s="15" t="s">
        <v>63</v>
      </c>
      <c r="G2" s="15" t="s">
        <v>64</v>
      </c>
      <c r="H2" s="15" t="s">
        <v>65</v>
      </c>
    </row>
    <row r="3" spans="1:11">
      <c r="A3" s="8" t="s">
        <v>52</v>
      </c>
      <c r="B3" s="12">
        <f>B10+B17+B24+B31</f>
        <v>31469852</v>
      </c>
      <c r="C3" s="12">
        <f>C10+C17+C24+C31</f>
        <v>33640458</v>
      </c>
      <c r="D3" s="12">
        <f>D10+D17+D24+D31</f>
        <v>39000966</v>
      </c>
      <c r="E3" s="12">
        <f>D3*(1+E5)</f>
        <v>43453339.647003874</v>
      </c>
      <c r="F3" s="12">
        <f t="shared" ref="F3:H3" si="0">E3*(1+F5)</f>
        <v>48413998.937305264</v>
      </c>
      <c r="G3" s="12">
        <f t="shared" si="0"/>
        <v>53940970.064495593</v>
      </c>
      <c r="H3" s="12">
        <f t="shared" si="0"/>
        <v>60098903.527194574</v>
      </c>
    </row>
    <row r="4" spans="1:11">
      <c r="A4" s="23" t="s">
        <v>70</v>
      </c>
      <c r="B4" s="24">
        <f>'P&amp;L Input'!F7-'Revenue Modelling'!B3</f>
        <v>145698</v>
      </c>
      <c r="C4" s="24">
        <f>'P&amp;L Input'!E7-'Revenue Modelling'!C3</f>
        <v>82839</v>
      </c>
      <c r="D4" s="24">
        <f>'P&amp;L Input'!D7-'Revenue Modelling'!D3</f>
        <v>0</v>
      </c>
      <c r="E4" s="24">
        <v>0</v>
      </c>
      <c r="F4" s="24">
        <v>0</v>
      </c>
      <c r="G4" s="24">
        <v>0</v>
      </c>
      <c r="H4" s="24">
        <v>0</v>
      </c>
    </row>
    <row r="5" spans="1:11">
      <c r="A5" s="10" t="s">
        <v>53</v>
      </c>
      <c r="C5" s="18">
        <f>C3/B3-1</f>
        <v>6.8974140710925447E-2</v>
      </c>
      <c r="D5" s="18">
        <f>D3/C3-1</f>
        <v>0.15934705764112955</v>
      </c>
      <c r="E5" s="18">
        <f>AVERAGE($C$5:$D$5)</f>
        <v>0.1141605991760275</v>
      </c>
      <c r="F5" s="18">
        <f t="shared" ref="F5:H5" si="1">AVERAGE($C$5:$D$5)</f>
        <v>0.1141605991760275</v>
      </c>
      <c r="G5" s="18">
        <f t="shared" si="1"/>
        <v>0.1141605991760275</v>
      </c>
      <c r="H5" s="18">
        <f t="shared" si="1"/>
        <v>0.1141605991760275</v>
      </c>
    </row>
    <row r="6" spans="1:11" s="14" customFormat="1">
      <c r="A6" s="21" t="s">
        <v>54</v>
      </c>
      <c r="B6" s="22">
        <f>SUM(B3:B4)</f>
        <v>31615550</v>
      </c>
      <c r="C6" s="22">
        <f t="shared" ref="C6:H6" si="2">SUM(C3:C4)</f>
        <v>33723297</v>
      </c>
      <c r="D6" s="22">
        <f t="shared" si="2"/>
        <v>39000966</v>
      </c>
      <c r="E6" s="22">
        <f t="shared" si="2"/>
        <v>43453339.647003874</v>
      </c>
      <c r="F6" s="22">
        <f t="shared" si="2"/>
        <v>48413998.937305264</v>
      </c>
      <c r="G6" s="22">
        <f t="shared" si="2"/>
        <v>53940970.064495593</v>
      </c>
      <c r="H6" s="22">
        <f t="shared" si="2"/>
        <v>60098903.527194574</v>
      </c>
    </row>
    <row r="8" spans="1:11">
      <c r="B8" s="13"/>
      <c r="C8" s="13"/>
      <c r="D8" s="13"/>
    </row>
    <row r="9" spans="1:11" ht="15.6">
      <c r="A9" s="7" t="s">
        <v>55</v>
      </c>
    </row>
    <row r="10" spans="1:11">
      <c r="A10" s="8" t="s">
        <v>0</v>
      </c>
      <c r="B10" s="12">
        <v>14084643</v>
      </c>
      <c r="C10" s="12">
        <v>14873783</v>
      </c>
      <c r="D10" s="12">
        <v>17359369</v>
      </c>
      <c r="E10" s="13">
        <f>E12*E11</f>
        <v>25654823.124460395</v>
      </c>
      <c r="F10" s="13">
        <f t="shared" ref="F10:H10" si="3">F12*F11</f>
        <v>31073239.215594698</v>
      </c>
      <c r="G10" s="13">
        <f t="shared" si="3"/>
        <v>37325317.19841712</v>
      </c>
      <c r="H10" s="13">
        <f t="shared" si="3"/>
        <v>44462088.721282609</v>
      </c>
      <c r="I10" s="125" t="s">
        <v>61</v>
      </c>
      <c r="J10" s="125"/>
      <c r="K10" s="125"/>
    </row>
    <row r="11" spans="1:11">
      <c r="A11" s="8" t="s">
        <v>56</v>
      </c>
      <c r="B11">
        <f>I12*12</f>
        <v>191.76</v>
      </c>
      <c r="C11">
        <f t="shared" ref="C11:D11" si="4">J12*12</f>
        <v>181.44</v>
      </c>
      <c r="D11">
        <f t="shared" si="4"/>
        <v>156.72</v>
      </c>
      <c r="E11" s="20">
        <f>AVERAGE($B$11:$D$11)</f>
        <v>176.64</v>
      </c>
      <c r="F11" s="20">
        <f t="shared" ref="F11:H11" si="5">AVERAGE($B$11:$D$11)</f>
        <v>176.64</v>
      </c>
      <c r="G11" s="20">
        <f t="shared" si="5"/>
        <v>176.64</v>
      </c>
      <c r="H11" s="20">
        <f t="shared" si="5"/>
        <v>176.64</v>
      </c>
      <c r="I11" s="16">
        <v>2022</v>
      </c>
      <c r="J11" s="16">
        <v>2023</v>
      </c>
      <c r="K11" s="16">
        <v>2024</v>
      </c>
    </row>
    <row r="12" spans="1:11">
      <c r="A12" s="8" t="s">
        <v>57</v>
      </c>
      <c r="B12" s="13">
        <f>B10/B11</f>
        <v>73449.327284105137</v>
      </c>
      <c r="C12" s="13">
        <f t="shared" ref="C12:D12" si="6">C10/C11</f>
        <v>81976.317239858909</v>
      </c>
      <c r="D12" s="13">
        <f t="shared" si="6"/>
        <v>110766.77514037775</v>
      </c>
      <c r="E12" s="13">
        <f>D12*(1+E13)</f>
        <v>145237.90265206294</v>
      </c>
      <c r="F12" s="13">
        <f t="shared" ref="F12:H12" si="7">E12*(1+F13)</f>
        <v>175912.81258828522</v>
      </c>
      <c r="G12" s="13">
        <f t="shared" si="7"/>
        <v>211307.27580625637</v>
      </c>
      <c r="H12" s="13">
        <f t="shared" si="7"/>
        <v>251710.19430073941</v>
      </c>
      <c r="I12" s="17">
        <v>15.98</v>
      </c>
      <c r="J12" s="17">
        <v>15.12</v>
      </c>
      <c r="K12" s="17">
        <v>13.06</v>
      </c>
    </row>
    <row r="13" spans="1:11">
      <c r="A13" s="10" t="s">
        <v>53</v>
      </c>
      <c r="C13" s="18">
        <f>C12/B12-1</f>
        <v>0.11609350651737094</v>
      </c>
      <c r="D13" s="18">
        <f>D12/C12-1</f>
        <v>0.35120457797926319</v>
      </c>
      <c r="E13" s="19">
        <f>D13-4%</f>
        <v>0.31120457797926321</v>
      </c>
      <c r="F13" s="19">
        <f>E13-10%</f>
        <v>0.2112045779792632</v>
      </c>
      <c r="G13" s="19">
        <f>F13-1%</f>
        <v>0.20120457797926319</v>
      </c>
      <c r="H13" s="19">
        <f>G13-1%</f>
        <v>0.19120457797926318</v>
      </c>
      <c r="I13" s="124" t="s">
        <v>66</v>
      </c>
      <c r="J13" s="124"/>
      <c r="K13" s="124"/>
    </row>
    <row r="14" spans="1:11">
      <c r="A14" s="8"/>
    </row>
    <row r="15" spans="1:11">
      <c r="A15" s="8"/>
    </row>
    <row r="16" spans="1:11" ht="15.6">
      <c r="A16" s="7" t="s">
        <v>58</v>
      </c>
    </row>
    <row r="17" spans="1:11">
      <c r="A17" s="8" t="s">
        <v>0</v>
      </c>
      <c r="B17" s="12">
        <v>9745015</v>
      </c>
      <c r="C17" s="12">
        <v>10556487</v>
      </c>
      <c r="D17" s="12">
        <v>12387035</v>
      </c>
      <c r="E17" s="13">
        <f>E19*E18</f>
        <v>13886084.010704542</v>
      </c>
      <c r="F17" s="13">
        <f t="shared" ref="F17" si="8">F19*F18</f>
        <v>15255693.176853452</v>
      </c>
      <c r="G17" s="13">
        <f t="shared" ref="G17" si="9">G19*G18</f>
        <v>16607832.399513107</v>
      </c>
      <c r="H17" s="13">
        <f t="shared" ref="H17" si="10">H19*H18</f>
        <v>17913735.802628927</v>
      </c>
      <c r="I17" s="125" t="s">
        <v>61</v>
      </c>
      <c r="J17" s="125"/>
      <c r="K17" s="125"/>
    </row>
    <row r="18" spans="1:11">
      <c r="A18" s="8" t="s">
        <v>56</v>
      </c>
      <c r="B18">
        <f>I19*12</f>
        <v>130.68</v>
      </c>
      <c r="C18">
        <f t="shared" ref="C18" si="11">J19*12</f>
        <v>127.56</v>
      </c>
      <c r="D18">
        <f t="shared" ref="D18" si="12">K19*12</f>
        <v>130.44</v>
      </c>
      <c r="E18" s="20">
        <f>AVERAGE($B$18:$D$18)</f>
        <v>129.56</v>
      </c>
      <c r="F18" s="20">
        <f t="shared" ref="F18:H18" si="13">AVERAGE($B$18:$D$18)</f>
        <v>129.56</v>
      </c>
      <c r="G18" s="20">
        <f t="shared" si="13"/>
        <v>129.56</v>
      </c>
      <c r="H18" s="20">
        <f t="shared" si="13"/>
        <v>129.56</v>
      </c>
      <c r="I18" s="16">
        <v>2022</v>
      </c>
      <c r="J18" s="16">
        <v>2023</v>
      </c>
      <c r="K18" s="16">
        <v>2024</v>
      </c>
    </row>
    <row r="19" spans="1:11">
      <c r="A19" s="8" t="s">
        <v>57</v>
      </c>
      <c r="B19" s="13">
        <f>B17/B18</f>
        <v>74571.587082950718</v>
      </c>
      <c r="C19" s="13">
        <f t="shared" ref="C19" si="14">C17/C18</f>
        <v>82757.031984948262</v>
      </c>
      <c r="D19" s="13">
        <f t="shared" ref="D19" si="15">D17/D18</f>
        <v>94963.469794541554</v>
      </c>
      <c r="E19" s="13">
        <f>D19*(1+E20)</f>
        <v>107178.78983254508</v>
      </c>
      <c r="F19" s="13">
        <f t="shared" ref="F19" si="16">E19*(1+F20)</f>
        <v>117750.02452032611</v>
      </c>
      <c r="G19" s="13">
        <f t="shared" ref="G19" si="17">F19*(1+G20)</f>
        <v>128186.41864397272</v>
      </c>
      <c r="H19" s="13">
        <f t="shared" ref="H19" si="18">G19*(1+H20)</f>
        <v>138265.94475632082</v>
      </c>
      <c r="I19" s="17">
        <v>10.89</v>
      </c>
      <c r="J19" s="17">
        <v>10.63</v>
      </c>
      <c r="K19" s="17">
        <v>10.87</v>
      </c>
    </row>
    <row r="20" spans="1:11">
      <c r="A20" s="10" t="s">
        <v>53</v>
      </c>
      <c r="C20" s="18">
        <f>C19/B19-1</f>
        <v>0.10976626919435617</v>
      </c>
      <c r="D20" s="18">
        <f>D19/C19-1</f>
        <v>0.14749728834902376</v>
      </c>
      <c r="E20" s="19">
        <f>AVERAGE(C20:D20)</f>
        <v>0.12863177877168996</v>
      </c>
      <c r="F20" s="19">
        <f>E20-3%</f>
        <v>9.8631778771689965E-2</v>
      </c>
      <c r="G20" s="19">
        <f>F20-1%</f>
        <v>8.863177877168997E-2</v>
      </c>
      <c r="H20" s="19">
        <f>G20-1%</f>
        <v>7.8631778771689975E-2</v>
      </c>
      <c r="I20" s="124" t="s">
        <v>67</v>
      </c>
      <c r="J20" s="124"/>
      <c r="K20" s="124"/>
    </row>
    <row r="21" spans="1:11">
      <c r="A21" s="8"/>
    </row>
    <row r="22" spans="1:11">
      <c r="A22" s="8"/>
    </row>
    <row r="23" spans="1:11" ht="15.6">
      <c r="A23" s="7" t="s">
        <v>59</v>
      </c>
    </row>
    <row r="24" spans="1:11">
      <c r="A24" s="8" t="s">
        <v>0</v>
      </c>
      <c r="B24" s="12">
        <v>4069973</v>
      </c>
      <c r="C24" s="12">
        <v>4446461</v>
      </c>
      <c r="D24" s="12">
        <v>4839816</v>
      </c>
      <c r="E24" s="13">
        <f>E26*E25</f>
        <v>5449611.9696017839</v>
      </c>
      <c r="F24" s="13">
        <f t="shared" ref="F24" si="19">F26*F25</f>
        <v>5955909.8623442855</v>
      </c>
      <c r="G24" s="13">
        <f t="shared" ref="G24" si="20">G26*G25</f>
        <v>6449686.4194500232</v>
      </c>
      <c r="H24" s="13">
        <f t="shared" ref="H24" si="21">H26*H25</f>
        <v>6952151.2432975406</v>
      </c>
      <c r="I24" s="125" t="s">
        <v>61</v>
      </c>
      <c r="J24" s="125"/>
      <c r="K24" s="125"/>
    </row>
    <row r="25" spans="1:11">
      <c r="A25" s="8" t="s">
        <v>56</v>
      </c>
      <c r="B25">
        <f>I26*12</f>
        <v>99.600000000000009</v>
      </c>
      <c r="C25">
        <f t="shared" ref="C25" si="22">J26*12</f>
        <v>101.39999999999999</v>
      </c>
      <c r="D25">
        <f t="shared" ref="D25" si="23">K26*12</f>
        <v>97.44</v>
      </c>
      <c r="E25" s="20">
        <f>AVERAGE($B$25:$D$25)</f>
        <v>99.48</v>
      </c>
      <c r="F25" s="20">
        <f t="shared" ref="F25:H25" si="24">AVERAGE($B$25:$D$25)</f>
        <v>99.48</v>
      </c>
      <c r="G25" s="20">
        <f t="shared" si="24"/>
        <v>99.48</v>
      </c>
      <c r="H25" s="20">
        <f t="shared" si="24"/>
        <v>99.48</v>
      </c>
      <c r="I25" s="16">
        <v>2022</v>
      </c>
      <c r="J25" s="16">
        <v>2023</v>
      </c>
      <c r="K25" s="16">
        <v>2024</v>
      </c>
    </row>
    <row r="26" spans="1:11">
      <c r="A26" s="8" t="s">
        <v>57</v>
      </c>
      <c r="B26" s="13">
        <f>B24/B25</f>
        <v>40863.182730923691</v>
      </c>
      <c r="C26" s="13">
        <f t="shared" ref="C26" si="25">C24/C25</f>
        <v>43850.700197238664</v>
      </c>
      <c r="D26" s="13">
        <f t="shared" ref="D26" si="26">D24/D25</f>
        <v>49669.704433497536</v>
      </c>
      <c r="E26" s="13">
        <f>D26*(1+E27)</f>
        <v>54780.980796157855</v>
      </c>
      <c r="F26" s="13">
        <f t="shared" ref="F26" si="27">E26*(1+F27)</f>
        <v>59870.424832572229</v>
      </c>
      <c r="G26" s="13">
        <f t="shared" ref="G26" si="28">F26*(1+G27)</f>
        <v>64834.000999698663</v>
      </c>
      <c r="H26" s="13">
        <f t="shared" ref="H26" si="29">G26*(1+H27)</f>
        <v>69884.913985701045</v>
      </c>
      <c r="I26" s="17">
        <v>8.3000000000000007</v>
      </c>
      <c r="J26" s="17">
        <v>8.4499999999999993</v>
      </c>
      <c r="K26" s="17">
        <v>8.1199999999999992</v>
      </c>
    </row>
    <row r="27" spans="1:11">
      <c r="A27" s="10" t="s">
        <v>53</v>
      </c>
      <c r="C27" s="18">
        <f>C26/B26-1</f>
        <v>7.3110249047099618E-2</v>
      </c>
      <c r="D27" s="18">
        <f>D26/C26-1</f>
        <v>0.13270037217388153</v>
      </c>
      <c r="E27" s="19">
        <f>AVERAGE(C27:D27)</f>
        <v>0.10290531061049057</v>
      </c>
      <c r="F27" s="19">
        <f>E27-1%</f>
        <v>9.290531061049058E-2</v>
      </c>
      <c r="G27" s="19">
        <f>F27-1%</f>
        <v>8.2905310610490585E-2</v>
      </c>
      <c r="H27" s="19">
        <f>G27-0.5%</f>
        <v>7.790531061049058E-2</v>
      </c>
      <c r="I27" s="124" t="s">
        <v>68</v>
      </c>
      <c r="J27" s="124"/>
      <c r="K27" s="124"/>
    </row>
    <row r="28" spans="1:11">
      <c r="A28" s="8"/>
    </row>
    <row r="29" spans="1:11">
      <c r="A29" s="8"/>
    </row>
    <row r="30" spans="1:11" ht="15.6">
      <c r="A30" s="7" t="s">
        <v>60</v>
      </c>
    </row>
    <row r="31" spans="1:11">
      <c r="A31" s="8" t="s">
        <v>0</v>
      </c>
      <c r="B31" s="12">
        <v>3570221</v>
      </c>
      <c r="C31" s="12">
        <v>3763727</v>
      </c>
      <c r="D31" s="12">
        <v>4414746</v>
      </c>
      <c r="E31" s="13">
        <f>E33*E32</f>
        <v>5733450.7509638453</v>
      </c>
      <c r="F31" s="13">
        <f t="shared" ref="F31" si="30">F33*F32</f>
        <v>6991987.8462263215</v>
      </c>
      <c r="G31" s="13">
        <f t="shared" ref="G31" si="31">G33*G32</f>
        <v>8483003.8859785255</v>
      </c>
      <c r="H31" s="13">
        <f t="shared" ref="H31" si="32">H33*H32</f>
        <v>10318531.49798069</v>
      </c>
      <c r="I31" s="125" t="s">
        <v>61</v>
      </c>
      <c r="J31" s="125"/>
      <c r="K31" s="125"/>
    </row>
    <row r="32" spans="1:11">
      <c r="A32" s="8" t="s">
        <v>56</v>
      </c>
      <c r="B32">
        <f>I33*12</f>
        <v>101.03999999999999</v>
      </c>
      <c r="C32">
        <f t="shared" ref="C32" si="33">J33*12</f>
        <v>90.12</v>
      </c>
      <c r="D32">
        <f t="shared" ref="D32" si="34">K33*12</f>
        <v>85.800000000000011</v>
      </c>
      <c r="E32" s="20">
        <f>AVERAGE($B$32:$D$32)</f>
        <v>92.320000000000007</v>
      </c>
      <c r="F32" s="20">
        <f t="shared" ref="F32:H32" si="35">AVERAGE($B$32:$D$32)</f>
        <v>92.320000000000007</v>
      </c>
      <c r="G32" s="20">
        <f t="shared" si="35"/>
        <v>92.320000000000007</v>
      </c>
      <c r="H32" s="20">
        <f t="shared" si="35"/>
        <v>92.320000000000007</v>
      </c>
      <c r="I32" s="16">
        <v>2022</v>
      </c>
      <c r="J32" s="16">
        <v>2023</v>
      </c>
      <c r="K32" s="16">
        <v>2024</v>
      </c>
    </row>
    <row r="33" spans="1:11">
      <c r="A33" s="8" t="s">
        <v>57</v>
      </c>
      <c r="B33" s="13">
        <f>B31/B32</f>
        <v>35334.7288202692</v>
      </c>
      <c r="C33" s="13">
        <f t="shared" ref="C33" si="36">C31/C32</f>
        <v>41763.504216600086</v>
      </c>
      <c r="D33" s="13">
        <f t="shared" ref="D33" si="37">D31/D32</f>
        <v>51453.916083916076</v>
      </c>
      <c r="E33" s="13">
        <f>D33*(1+E34)</f>
        <v>62104.102588429865</v>
      </c>
      <c r="F33" s="13">
        <f t="shared" ref="F33" si="38">E33*(1+F34)</f>
        <v>75736.436809210587</v>
      </c>
      <c r="G33" s="13">
        <f t="shared" ref="G33" si="39">F33*(1+G34)</f>
        <v>91886.957170477952</v>
      </c>
      <c r="H33" s="13">
        <f t="shared" ref="H33" si="40">G33*(1+H34)</f>
        <v>111769.18866963484</v>
      </c>
      <c r="I33" s="17">
        <v>8.42</v>
      </c>
      <c r="J33" s="17">
        <v>7.51</v>
      </c>
      <c r="K33" s="17">
        <v>7.15</v>
      </c>
    </row>
    <row r="34" spans="1:11">
      <c r="A34" s="10" t="s">
        <v>53</v>
      </c>
      <c r="C34" s="18">
        <f>C33/B33-1</f>
        <v>0.18193928780466884</v>
      </c>
      <c r="D34" s="18">
        <f>D33/C33-1</f>
        <v>0.23203062216853598</v>
      </c>
      <c r="E34" s="19">
        <f>AVERAGE(C34:D34)</f>
        <v>0.20698495498660241</v>
      </c>
      <c r="F34" s="19">
        <f t="shared" ref="F34:H34" si="41">AVERAGE(D34:E34)</f>
        <v>0.2195077885775692</v>
      </c>
      <c r="G34" s="19">
        <f t="shared" si="41"/>
        <v>0.2132463717820858</v>
      </c>
      <c r="H34" s="19">
        <f t="shared" si="41"/>
        <v>0.21637708017982749</v>
      </c>
      <c r="I34" s="124" t="s">
        <v>69</v>
      </c>
      <c r="J34" s="124"/>
      <c r="K34" s="124"/>
    </row>
  </sheetData>
  <mergeCells count="8">
    <mergeCell ref="I34:K34"/>
    <mergeCell ref="I10:K10"/>
    <mergeCell ref="I17:K17"/>
    <mergeCell ref="I24:K24"/>
    <mergeCell ref="I31:K31"/>
    <mergeCell ref="I13:K13"/>
    <mergeCell ref="I20:K20"/>
    <mergeCell ref="I27:K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4D90-8055-4C86-BF38-8D6BD858FC98}">
  <dimension ref="A1:H100"/>
  <sheetViews>
    <sheetView topLeftCell="A7" workbookViewId="0">
      <selection activeCell="H30" sqref="H30"/>
    </sheetView>
  </sheetViews>
  <sheetFormatPr defaultColWidth="14.44140625" defaultRowHeight="14.4"/>
  <cols>
    <col min="1" max="1" width="33.33203125" customWidth="1"/>
    <col min="2" max="2" width="14" customWidth="1"/>
    <col min="3" max="4" width="15" customWidth="1"/>
    <col min="5" max="8" width="14" customWidth="1"/>
    <col min="9" max="11" width="8.6640625" customWidth="1"/>
  </cols>
  <sheetData>
    <row r="1" spans="1:8" ht="24.6">
      <c r="A1" s="123" t="s">
        <v>71</v>
      </c>
      <c r="B1" s="126"/>
      <c r="C1" s="126"/>
      <c r="D1" s="126"/>
      <c r="E1" s="126"/>
      <c r="F1" s="126"/>
      <c r="G1" s="126"/>
      <c r="H1" s="126"/>
    </row>
    <row r="2" spans="1:8" ht="14.25" customHeight="1">
      <c r="A2" s="7"/>
    </row>
    <row r="3" spans="1:8" ht="14.25" customHeight="1">
      <c r="A3" s="4" t="s">
        <v>44</v>
      </c>
      <c r="B3" s="9">
        <v>2022</v>
      </c>
      <c r="C3" s="9">
        <v>2023</v>
      </c>
      <c r="D3" s="9">
        <v>2024</v>
      </c>
      <c r="E3" s="25">
        <v>2025</v>
      </c>
      <c r="F3" s="25">
        <v>2026</v>
      </c>
      <c r="G3" s="25">
        <v>2027</v>
      </c>
      <c r="H3" s="25">
        <v>2028</v>
      </c>
    </row>
    <row r="4" spans="1:8" ht="14.25" customHeight="1">
      <c r="A4" t="s">
        <v>72</v>
      </c>
      <c r="B4" s="26">
        <f>'P&amp;L Input'!F8-Schedules!B6</f>
        <v>18831603</v>
      </c>
      <c r="C4" s="26">
        <f>'P&amp;L Input'!E8-Schedules!C6</f>
        <v>19358421</v>
      </c>
      <c r="D4" s="26">
        <f>'P&amp;L Input'!D8-Schedules!D6</f>
        <v>20709550</v>
      </c>
      <c r="E4" s="26">
        <f>'Revenue Modelling'!E6*'Other Items'!E5</f>
        <v>24633432.701615594</v>
      </c>
      <c r="F4" s="26">
        <f>'Revenue Modelling'!F6*'Other Items'!F5</f>
        <v>27445600.138594378</v>
      </c>
      <c r="G4" s="26">
        <f>'Revenue Modelling'!G6*'Other Items'!G5</f>
        <v>30578806.295161977</v>
      </c>
      <c r="H4" s="26">
        <f>'Revenue Modelling'!H6*'Other Items'!H5</f>
        <v>34069701.143905349</v>
      </c>
    </row>
    <row r="5" spans="1:8" ht="14.25" customHeight="1">
      <c r="A5" s="27" t="s">
        <v>73</v>
      </c>
      <c r="B5" s="28">
        <f>B4/'Revenue Modelling'!B6</f>
        <v>0.59564369432130704</v>
      </c>
      <c r="C5" s="28">
        <f>C4/'Revenue Modelling'!C6</f>
        <v>0.57403702253667543</v>
      </c>
      <c r="D5" s="28">
        <f>D4/'Revenue Modelling'!D6</f>
        <v>0.53100095007903136</v>
      </c>
      <c r="E5" s="29">
        <f>AVERAGE($B$5:$D$5)</f>
        <v>0.56689388897900461</v>
      </c>
      <c r="F5" s="29">
        <f t="shared" ref="F5:H5" si="0">AVERAGE($B$5:$D$5)</f>
        <v>0.56689388897900461</v>
      </c>
      <c r="G5" s="29">
        <f t="shared" si="0"/>
        <v>0.56689388897900461</v>
      </c>
      <c r="H5" s="29">
        <f t="shared" si="0"/>
        <v>0.56689388897900461</v>
      </c>
    </row>
    <row r="6" spans="1:8" ht="14.25" customHeight="1"/>
    <row r="7" spans="1:8" ht="14.25" customHeight="1">
      <c r="A7" t="s">
        <v>159</v>
      </c>
      <c r="B7" s="26">
        <f>'P&amp;L Input'!F9</f>
        <v>2530502</v>
      </c>
      <c r="C7" s="26">
        <f>'P&amp;L Input'!E9</f>
        <v>2657883</v>
      </c>
      <c r="D7" s="26">
        <f>'P&amp;L Input'!D9</f>
        <v>2917554</v>
      </c>
      <c r="E7" s="26">
        <f>'Revenue Modelling'!E6*'Other Items'!E8</f>
        <v>3384456.94865957</v>
      </c>
      <c r="F7" s="26">
        <f>'Revenue Modelling'!F6*'Other Items'!F8</f>
        <v>3770828.5818040157</v>
      </c>
      <c r="G7" s="26">
        <f>'Revenue Modelling'!G6*'Other Items'!G8</f>
        <v>4201308.6320928521</v>
      </c>
      <c r="H7" s="26">
        <f>'Revenue Modelling'!H6*'Other Items'!H8</f>
        <v>4680932.5428559892</v>
      </c>
    </row>
    <row r="8" spans="1:8" ht="14.25" customHeight="1">
      <c r="A8" s="27" t="s">
        <v>73</v>
      </c>
      <c r="B8" s="28">
        <f>B7/'Revenue Modelling'!B6</f>
        <v>8.0039790546107853E-2</v>
      </c>
      <c r="C8" s="28">
        <f>C7/'Revenue Modelling'!C6</f>
        <v>7.8814446879259759E-2</v>
      </c>
      <c r="D8" s="28">
        <f>D7/'Revenue Modelling'!D6</f>
        <v>7.4807224005682321E-2</v>
      </c>
      <c r="E8" s="29">
        <f>AVERAGE($B$8:$D$8)</f>
        <v>7.7887153810349982E-2</v>
      </c>
      <c r="F8" s="29">
        <f t="shared" ref="F8:H8" si="1">AVERAGE($B$8:$D$8)</f>
        <v>7.7887153810349982E-2</v>
      </c>
      <c r="G8" s="29">
        <f t="shared" si="1"/>
        <v>7.7887153810349982E-2</v>
      </c>
      <c r="H8" s="29">
        <f t="shared" si="1"/>
        <v>7.7887153810349982E-2</v>
      </c>
    </row>
    <row r="9" spans="1:8" ht="14.25" customHeight="1"/>
    <row r="10" spans="1:8" ht="14.25" customHeight="1">
      <c r="A10" t="s">
        <v>75</v>
      </c>
      <c r="B10" s="26">
        <f>'P&amp;L Input'!F10</f>
        <v>2711041</v>
      </c>
      <c r="C10" s="26">
        <f>'P&amp;L Input'!E10</f>
        <v>2675758</v>
      </c>
      <c r="D10" s="26">
        <f>'P&amp;L Input'!D10</f>
        <v>2925295</v>
      </c>
      <c r="E10" s="26">
        <f>'Revenue Modelling'!E6*'Other Items'!E11</f>
        <v>3477722.0206443057</v>
      </c>
      <c r="F10" s="26">
        <f>'Revenue Modelling'!F6*'Other Items'!F11</f>
        <v>3874740.8502887245</v>
      </c>
      <c r="G10" s="26">
        <f>'Revenue Modelling'!G6*'Other Items'!G11</f>
        <v>4317083.5874095159</v>
      </c>
      <c r="H10" s="26">
        <f>'Revenue Modelling'!H6*'Other Items'!H11</f>
        <v>4809924.4364411803</v>
      </c>
    </row>
    <row r="11" spans="1:8" ht="14.25" customHeight="1">
      <c r="A11" s="27" t="s">
        <v>73</v>
      </c>
      <c r="B11" s="28">
        <f>B10/'Revenue Modelling'!B6</f>
        <v>8.5750239992661834E-2</v>
      </c>
      <c r="C11" s="28">
        <f>C10/'Revenue Modelling'!C6</f>
        <v>7.9344495883661673E-2</v>
      </c>
      <c r="D11" s="28">
        <f>D10/'Revenue Modelling'!D6</f>
        <v>7.5005706268916519E-2</v>
      </c>
      <c r="E11" s="29">
        <f>AVERAGE($B$11:$D$11)</f>
        <v>8.0033480715079999E-2</v>
      </c>
      <c r="F11" s="29">
        <f t="shared" ref="F11:H11" si="2">AVERAGE($B$11:$D$11)</f>
        <v>8.0033480715079999E-2</v>
      </c>
      <c r="G11" s="29">
        <f t="shared" si="2"/>
        <v>8.0033480715079999E-2</v>
      </c>
      <c r="H11" s="29">
        <f t="shared" si="2"/>
        <v>8.0033480715079999E-2</v>
      </c>
    </row>
    <row r="12" spans="1:8" ht="14.25" customHeight="1"/>
    <row r="13" spans="1:8" ht="14.25" customHeight="1">
      <c r="A13" t="s">
        <v>76</v>
      </c>
      <c r="B13" s="26">
        <f>'P&amp;L Input'!F11</f>
        <v>1572891</v>
      </c>
      <c r="C13" s="26">
        <f>'P&amp;L Input'!E11</f>
        <v>1720285</v>
      </c>
      <c r="D13" s="26">
        <f>'P&amp;L Input'!D11</f>
        <v>1702039</v>
      </c>
      <c r="E13" s="30">
        <f>'Revenue Modelling'!E6*'Other Items'!E14</f>
        <v>2091601.3382442084</v>
      </c>
      <c r="F13" s="30">
        <f>'Revenue Modelling'!F6*'Other Items'!F14</f>
        <v>2330379.8002555482</v>
      </c>
      <c r="G13" s="30">
        <f>'Revenue Modelling'!G6*'Other Items'!G14</f>
        <v>2596417.354560433</v>
      </c>
      <c r="H13" s="30">
        <f>'Revenue Modelling'!H6*'Other Items'!H14</f>
        <v>2892825.9154680884</v>
      </c>
    </row>
    <row r="14" spans="1:8" ht="14.25" customHeight="1">
      <c r="A14" s="27" t="s">
        <v>73</v>
      </c>
      <c r="B14" s="28">
        <f>B13/'Revenue Modelling'!B6</f>
        <v>4.9750549966709419E-2</v>
      </c>
      <c r="C14" s="28">
        <f>C13/'Revenue Modelling'!C6</f>
        <v>5.1011767918184278E-2</v>
      </c>
      <c r="D14" s="28">
        <f>D13/'Revenue Modelling'!D6</f>
        <v>4.3640944688395668E-2</v>
      </c>
      <c r="E14" s="29">
        <f>AVERAGE($B$14:$D$14)</f>
        <v>4.8134420857763122E-2</v>
      </c>
      <c r="F14" s="29">
        <f t="shared" ref="F14:H14" si="3">AVERAGE($B$14:$D$14)</f>
        <v>4.8134420857763122E-2</v>
      </c>
      <c r="G14" s="29">
        <f t="shared" si="3"/>
        <v>4.8134420857763122E-2</v>
      </c>
      <c r="H14" s="29">
        <f t="shared" si="3"/>
        <v>4.8134420857763122E-2</v>
      </c>
    </row>
    <row r="15" spans="1:8" ht="14.25" customHeight="1"/>
    <row r="16" spans="1:8" ht="14.25" customHeight="1">
      <c r="A16" t="s">
        <v>77</v>
      </c>
      <c r="B16" s="65">
        <f>'Balance Sheet Input'!F11</f>
        <v>3208021</v>
      </c>
      <c r="C16" s="31">
        <f>'Balance Sheet Input'!E11</f>
        <v>2780247</v>
      </c>
      <c r="D16" s="31">
        <f>'Balance Sheet Input'!D11</f>
        <v>3516640</v>
      </c>
      <c r="E16" s="26">
        <f>'Revenue Modelling'!E6*'Other Items'!E17</f>
        <v>3969906.6778323445</v>
      </c>
      <c r="F16" s="26">
        <f>'Revenue Modelling'!F6*'Other Items'!F17</f>
        <v>4423113.6028465973</v>
      </c>
      <c r="G16" s="26">
        <f>'Revenue Modelling'!G6*'Other Items'!G17</f>
        <v>4928058.9019712033</v>
      </c>
      <c r="H16" s="26">
        <f>'Revenue Modelling'!H6*'Other Items'!H17</f>
        <v>5490649.0589949917</v>
      </c>
    </row>
    <row r="17" spans="1:8" ht="14.25" customHeight="1">
      <c r="A17" s="27" t="s">
        <v>73</v>
      </c>
      <c r="B17" s="66">
        <f>B16/'Revenue Modelling'!B6</f>
        <v>0.10146971980560199</v>
      </c>
      <c r="C17" s="28">
        <f>C16/'Revenue Modelling'!C6</f>
        <v>8.2442917725393222E-2</v>
      </c>
      <c r="D17" s="28">
        <f>D16/'Revenue Modelling'!D6</f>
        <v>9.0168023017686283E-2</v>
      </c>
      <c r="E17" s="29">
        <f>AVERAGE($B$17:$D$17)</f>
        <v>9.1360220182893845E-2</v>
      </c>
      <c r="F17" s="29">
        <f t="shared" ref="F17:H17" si="4">AVERAGE($B$17:$D$17)</f>
        <v>9.1360220182893845E-2</v>
      </c>
      <c r="G17" s="29">
        <f t="shared" si="4"/>
        <v>9.1360220182893845E-2</v>
      </c>
      <c r="H17" s="29">
        <f t="shared" si="4"/>
        <v>9.1360220182893845E-2</v>
      </c>
    </row>
    <row r="18" spans="1:8" ht="14.25" customHeight="1"/>
    <row r="19" spans="1:8" ht="14.25" customHeight="1">
      <c r="A19" t="s">
        <v>78</v>
      </c>
      <c r="B19" s="65">
        <f>'Balance Sheet Input'!F20</f>
        <v>671513</v>
      </c>
      <c r="C19" s="31">
        <f>'Balance Sheet Input'!E20</f>
        <v>747412</v>
      </c>
      <c r="D19" s="31">
        <f>'Balance Sheet Input'!D20</f>
        <v>899909</v>
      </c>
      <c r="E19" s="31">
        <f>(E20*E4)/365</f>
        <v>966630.61038818571</v>
      </c>
      <c r="F19" s="31">
        <f t="shared" ref="F19:H19" si="5">(F20*F4)/365</f>
        <v>1076981.7400519901</v>
      </c>
      <c r="G19" s="31">
        <f t="shared" si="5"/>
        <v>1199930.6207979661</v>
      </c>
      <c r="H19" s="31">
        <f t="shared" si="5"/>
        <v>1336915.4194379244</v>
      </c>
    </row>
    <row r="20" spans="1:8" ht="14.25" customHeight="1">
      <c r="A20" t="s">
        <v>79</v>
      </c>
      <c r="B20" s="30">
        <f>B19/B4*365</f>
        <v>13.015474306674795</v>
      </c>
      <c r="C20" s="30">
        <f>C19/C4*365</f>
        <v>14.092336353259391</v>
      </c>
      <c r="D20" s="30">
        <f>D19/D4*365</f>
        <v>15.860643278101167</v>
      </c>
      <c r="E20" s="32">
        <f>AVERAGE($B$20:$D$20)</f>
        <v>14.322817979345118</v>
      </c>
      <c r="F20" s="32">
        <f t="shared" ref="F20:H20" si="6">AVERAGE($B$20:$D$20)</f>
        <v>14.322817979345118</v>
      </c>
      <c r="G20" s="32">
        <f t="shared" si="6"/>
        <v>14.322817979345118</v>
      </c>
      <c r="H20" s="32">
        <f t="shared" si="6"/>
        <v>14.322817979345118</v>
      </c>
    </row>
    <row r="21" spans="1:8" ht="14.25" customHeight="1"/>
    <row r="22" spans="1:8" ht="14.25" customHeight="1">
      <c r="A22" t="s">
        <v>80</v>
      </c>
      <c r="B22" s="65">
        <f>'Balance Sheet Input'!F21</f>
        <v>1514650</v>
      </c>
      <c r="C22" s="31">
        <f>'Balance Sheet Input'!E21</f>
        <v>1803960</v>
      </c>
      <c r="D22" s="31">
        <f>'Balance Sheet Input'!D21</f>
        <v>2156544</v>
      </c>
      <c r="E22" s="26">
        <f>'Revenue Modelling'!E6*'Other Items'!E23</f>
        <v>2269654.9460763158</v>
      </c>
      <c r="F22" s="26">
        <f>'Revenue Modelling'!F6*'Other Items'!F23</f>
        <v>2528760.1146432222</v>
      </c>
      <c r="G22" s="26">
        <f>'Revenue Modelling'!G6*'Other Items'!G23</f>
        <v>2817444.8845033329</v>
      </c>
      <c r="H22" s="26">
        <f>'Revenue Modelling'!H6*'Other Items'!H23</f>
        <v>3139086.0806636671</v>
      </c>
    </row>
    <row r="23" spans="1:8" ht="14.25" customHeight="1">
      <c r="A23" s="27" t="s">
        <v>73</v>
      </c>
      <c r="B23" s="28">
        <f>B22/'Revenue Modelling'!B6</f>
        <v>4.7908386853937383E-2</v>
      </c>
      <c r="C23" s="28">
        <f>C22/'Revenue Modelling'!C6</f>
        <v>5.3492990320608329E-2</v>
      </c>
      <c r="D23" s="28">
        <f>D22/'Revenue Modelling'!D6</f>
        <v>5.5294630394539461E-2</v>
      </c>
      <c r="E23" s="29">
        <f>AVERAGE($B$23:$D$23)</f>
        <v>5.2232002523028391E-2</v>
      </c>
      <c r="F23" s="29">
        <f t="shared" ref="F23:H23" si="7">AVERAGE($B$23:$D$23)</f>
        <v>5.2232002523028391E-2</v>
      </c>
      <c r="G23" s="29">
        <f t="shared" si="7"/>
        <v>5.2232002523028391E-2</v>
      </c>
      <c r="H23" s="29">
        <f t="shared" si="7"/>
        <v>5.2232002523028391E-2</v>
      </c>
    </row>
    <row r="24" spans="1:8" ht="14.25" customHeight="1"/>
    <row r="25" spans="1:8" ht="14.25" customHeight="1">
      <c r="A25" t="s">
        <v>81</v>
      </c>
      <c r="B25" s="65">
        <f>'Balance Sheet Input'!F22</f>
        <v>1264661</v>
      </c>
      <c r="C25" s="31">
        <f>'Balance Sheet Input'!E22</f>
        <v>1442969</v>
      </c>
      <c r="D25" s="31">
        <f>'Balance Sheet Input'!D22</f>
        <v>1520813</v>
      </c>
      <c r="E25" s="26">
        <f>'Revenue Modelling'!E6*'Other Items'!E26</f>
        <v>1763973.3190016737</v>
      </c>
      <c r="F25" s="26">
        <f>'Revenue Modelling'!F6*'Other Items'!F26</f>
        <v>1965349.5700294306</v>
      </c>
      <c r="G25" s="26">
        <f>'Revenue Modelling'!G6*'Other Items'!G26</f>
        <v>2189715.0545343384</v>
      </c>
      <c r="H25" s="26">
        <f>'Revenue Modelling'!H6*'Other Items'!H26</f>
        <v>2439694.2371847462</v>
      </c>
    </row>
    <row r="26" spans="1:8" ht="14.25" customHeight="1">
      <c r="A26" s="27" t="s">
        <v>73</v>
      </c>
      <c r="B26" s="28">
        <f>B25/'Revenue Modelling'!B6</f>
        <v>4.0001233570189351E-2</v>
      </c>
      <c r="C26" s="28">
        <f>C25/'Revenue Modelling'!C6</f>
        <v>4.278849129134675E-2</v>
      </c>
      <c r="D26" s="28">
        <f>D25/'Revenue Modelling'!D6</f>
        <v>3.899423927089396E-2</v>
      </c>
      <c r="E26" s="29">
        <f>AVERAGE($B$26:$D$26)</f>
        <v>4.0594654710810023E-2</v>
      </c>
      <c r="F26" s="29">
        <f t="shared" ref="F26:H26" si="8">AVERAGE($B$26:$D$26)</f>
        <v>4.0594654710810023E-2</v>
      </c>
      <c r="G26" s="29">
        <f t="shared" si="8"/>
        <v>4.0594654710810023E-2</v>
      </c>
      <c r="H26" s="29">
        <f t="shared" si="8"/>
        <v>4.0594654710810023E-2</v>
      </c>
    </row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AEFB-595C-4C34-8D93-EF05BBA85FF5}">
  <dimension ref="A2:H28"/>
  <sheetViews>
    <sheetView topLeftCell="A7" workbookViewId="0">
      <selection activeCell="H32" sqref="H32"/>
    </sheetView>
  </sheetViews>
  <sheetFormatPr defaultRowHeight="14.4"/>
  <cols>
    <col min="1" max="1" width="30.88671875" bestFit="1" customWidth="1"/>
    <col min="2" max="4" width="13.5546875" bestFit="1" customWidth="1"/>
    <col min="5" max="5" width="11" bestFit="1" customWidth="1"/>
    <col min="6" max="8" width="12" bestFit="1" customWidth="1"/>
  </cols>
  <sheetData>
    <row r="2" spans="1:8">
      <c r="A2" s="14" t="s">
        <v>133</v>
      </c>
    </row>
    <row r="3" spans="1:8">
      <c r="A3" s="4" t="s">
        <v>44</v>
      </c>
      <c r="B3" s="9">
        <v>2022</v>
      </c>
      <c r="C3" s="9">
        <v>2023</v>
      </c>
      <c r="D3" s="9">
        <v>2024</v>
      </c>
      <c r="E3" s="25">
        <v>2025</v>
      </c>
      <c r="F3" s="25">
        <v>2026</v>
      </c>
      <c r="G3" s="25">
        <v>2027</v>
      </c>
      <c r="H3" s="25">
        <v>2028</v>
      </c>
    </row>
    <row r="4" spans="1:8">
      <c r="A4" t="s">
        <v>82</v>
      </c>
      <c r="C4" s="12">
        <f>B7</f>
        <v>1398257</v>
      </c>
      <c r="D4" s="12">
        <f>C7</f>
        <v>1491444</v>
      </c>
      <c r="E4" s="12">
        <f>D7</f>
        <v>1593756</v>
      </c>
      <c r="F4" s="12">
        <f t="shared" ref="F4:H4" si="0">E7</f>
        <v>1688154.2869728489</v>
      </c>
      <c r="G4" s="12">
        <f t="shared" si="0"/>
        <v>1793918.7370314766</v>
      </c>
      <c r="H4" s="12">
        <f t="shared" si="0"/>
        <v>1907807.3966036206</v>
      </c>
    </row>
    <row r="5" spans="1:8">
      <c r="A5" t="s">
        <v>83</v>
      </c>
      <c r="C5" s="12">
        <f>C7+C6-C4</f>
        <v>450134</v>
      </c>
      <c r="D5" s="12">
        <f>D7+D6-D4</f>
        <v>431226</v>
      </c>
      <c r="E5" s="68">
        <f>$D$5</f>
        <v>431226</v>
      </c>
      <c r="F5" s="68">
        <f t="shared" ref="F5:H5" si="1">$D$5</f>
        <v>431226</v>
      </c>
      <c r="G5" s="68">
        <f t="shared" si="1"/>
        <v>431226</v>
      </c>
      <c r="H5" s="68">
        <f t="shared" si="1"/>
        <v>431226</v>
      </c>
    </row>
    <row r="6" spans="1:8">
      <c r="A6" t="s">
        <v>84</v>
      </c>
      <c r="B6" s="12">
        <v>336682</v>
      </c>
      <c r="C6" s="12">
        <v>356947</v>
      </c>
      <c r="D6" s="12">
        <v>328914</v>
      </c>
      <c r="E6">
        <f>(E4+E5)/E9</f>
        <v>336827.71302715113</v>
      </c>
      <c r="F6">
        <f t="shared" ref="F6:H6" si="2">(F4+F5)/F9</f>
        <v>325461.54994137218</v>
      </c>
      <c r="G6">
        <f t="shared" si="2"/>
        <v>317337.34042785596</v>
      </c>
      <c r="H6">
        <f t="shared" si="2"/>
        <v>311376.14839906566</v>
      </c>
    </row>
    <row r="7" spans="1:8">
      <c r="A7" t="s">
        <v>85</v>
      </c>
      <c r="B7" s="12">
        <f>'Balance Sheet Input'!F14</f>
        <v>1398257</v>
      </c>
      <c r="C7" s="12">
        <f>'Balance Sheet Input'!E14</f>
        <v>1491444</v>
      </c>
      <c r="D7" s="12">
        <f>'Balance Sheet Input'!D14</f>
        <v>1593756</v>
      </c>
      <c r="E7" s="12">
        <f>E4+E5-E6</f>
        <v>1688154.2869728489</v>
      </c>
      <c r="F7" s="12">
        <f t="shared" ref="F7:H7" si="3">F4+F5-F6</f>
        <v>1793918.7370314766</v>
      </c>
      <c r="G7" s="12">
        <f t="shared" si="3"/>
        <v>1907807.3966036206</v>
      </c>
      <c r="H7" s="12">
        <f t="shared" si="3"/>
        <v>2027657.2482045549</v>
      </c>
    </row>
    <row r="9" spans="1:8">
      <c r="A9" s="27" t="s">
        <v>86</v>
      </c>
      <c r="C9" s="67">
        <f>(C4+C5)/C6</f>
        <v>5.1783345986939233</v>
      </c>
      <c r="D9" s="67">
        <f>(D4+D5)/D6</f>
        <v>5.8455097685109179</v>
      </c>
      <c r="E9" s="69">
        <f>AVERAGE(C9:D9)+0.5</f>
        <v>6.0119221836024206</v>
      </c>
      <c r="F9" s="69">
        <f>E9+0.5</f>
        <v>6.5119221836024206</v>
      </c>
      <c r="G9" s="69">
        <f>F9+0.5</f>
        <v>7.0119221836024206</v>
      </c>
      <c r="H9" s="69">
        <f>G9+0.5</f>
        <v>7.5119221836024206</v>
      </c>
    </row>
    <row r="12" spans="1:8">
      <c r="A12" s="14" t="s">
        <v>87</v>
      </c>
    </row>
    <row r="13" spans="1:8">
      <c r="A13" s="4" t="s">
        <v>44</v>
      </c>
      <c r="B13" s="9">
        <v>2022</v>
      </c>
      <c r="C13" s="9">
        <v>2023</v>
      </c>
      <c r="D13" s="9">
        <v>2024</v>
      </c>
      <c r="E13" s="25">
        <v>2025</v>
      </c>
      <c r="F13" s="25">
        <v>2026</v>
      </c>
      <c r="G13" s="25">
        <v>2027</v>
      </c>
      <c r="H13" s="25">
        <v>2028</v>
      </c>
    </row>
    <row r="14" spans="1:8">
      <c r="A14" t="s">
        <v>82</v>
      </c>
      <c r="C14" s="12">
        <f>B17</f>
        <v>32736713</v>
      </c>
      <c r="D14" s="12">
        <f>C17</f>
        <v>31658056</v>
      </c>
      <c r="E14" s="12">
        <f t="shared" ref="E14:H14" si="4">D17</f>
        <v>32452462</v>
      </c>
      <c r="F14" s="12">
        <f t="shared" si="4"/>
        <v>33259261.43530117</v>
      </c>
      <c r="G14" s="12">
        <f t="shared" si="4"/>
        <v>33811979.169259466</v>
      </c>
      <c r="H14" s="12">
        <f t="shared" si="4"/>
        <v>34190632.004233196</v>
      </c>
    </row>
    <row r="15" spans="1:8">
      <c r="A15" t="s">
        <v>88</v>
      </c>
      <c r="C15" s="12">
        <f>C17+C16-C14</f>
        <v>13118780</v>
      </c>
      <c r="D15" s="12">
        <f>D17+D16-D14</f>
        <v>16095923</v>
      </c>
      <c r="E15" s="68">
        <f>$D$15</f>
        <v>16095923</v>
      </c>
      <c r="F15" s="68">
        <f t="shared" ref="F15:H15" si="5">$D$15</f>
        <v>16095923</v>
      </c>
      <c r="G15" s="68">
        <f t="shared" si="5"/>
        <v>16095923</v>
      </c>
      <c r="H15" s="68">
        <f t="shared" si="5"/>
        <v>16095923</v>
      </c>
    </row>
    <row r="16" spans="1:8">
      <c r="A16" t="s">
        <v>89</v>
      </c>
      <c r="B16" s="12">
        <v>14026132</v>
      </c>
      <c r="C16" s="12">
        <v>14197437</v>
      </c>
      <c r="D16" s="12">
        <v>15301517</v>
      </c>
      <c r="E16">
        <f>(E14+E15)/E19</f>
        <v>15289123.564698828</v>
      </c>
      <c r="F16">
        <f t="shared" ref="F16:H16" si="6">(F14+F15)/F19</f>
        <v>15543205.266041702</v>
      </c>
      <c r="G16">
        <f t="shared" si="6"/>
        <v>15717270.165026266</v>
      </c>
      <c r="H16">
        <f t="shared" si="6"/>
        <v>15836517.591733392</v>
      </c>
    </row>
    <row r="17" spans="1:8">
      <c r="A17" t="s">
        <v>85</v>
      </c>
      <c r="B17" s="12">
        <f>'Balance Sheet Input'!F13</f>
        <v>32736713</v>
      </c>
      <c r="C17" s="12">
        <f>'Balance Sheet Input'!E13</f>
        <v>31658056</v>
      </c>
      <c r="D17" s="12">
        <f>'Balance Sheet Input'!D13</f>
        <v>32452462</v>
      </c>
      <c r="E17" s="12">
        <f>E14+E15-E16</f>
        <v>33259261.43530117</v>
      </c>
      <c r="F17" s="12">
        <f t="shared" ref="F17:H17" si="7">F14+F15-F16</f>
        <v>33811979.169259466</v>
      </c>
      <c r="G17" s="12">
        <f t="shared" si="7"/>
        <v>34190632.004233196</v>
      </c>
      <c r="H17" s="12">
        <f t="shared" si="7"/>
        <v>34450037.4124998</v>
      </c>
    </row>
    <row r="19" spans="1:8">
      <c r="A19" s="27" t="s">
        <v>90</v>
      </c>
      <c r="C19" s="67">
        <f>(C14+C15)/C16</f>
        <v>3.229843034344861</v>
      </c>
      <c r="D19" s="67">
        <f>(D14+D15)/D16</f>
        <v>3.1208656631888196</v>
      </c>
      <c r="E19" s="69">
        <f>AVERAGE($C$19:$D$19)</f>
        <v>3.1753543487668403</v>
      </c>
      <c r="F19" s="69">
        <f t="shared" ref="F19:H19" si="8">AVERAGE($C$19:$D$19)</f>
        <v>3.1753543487668403</v>
      </c>
      <c r="G19" s="69">
        <f t="shared" si="8"/>
        <v>3.1753543487668403</v>
      </c>
      <c r="H19" s="69">
        <f t="shared" si="8"/>
        <v>3.1753543487668403</v>
      </c>
    </row>
    <row r="22" spans="1:8">
      <c r="A22" s="14" t="s">
        <v>91</v>
      </c>
    </row>
    <row r="23" spans="1:8">
      <c r="A23" t="s">
        <v>92</v>
      </c>
      <c r="C23" s="12">
        <f>B25</f>
        <v>14353076</v>
      </c>
      <c r="D23" s="12">
        <f>C25</f>
        <v>14143417</v>
      </c>
      <c r="E23" s="12">
        <f>D25</f>
        <v>13798351</v>
      </c>
      <c r="F23" s="12">
        <f t="shared" ref="F23:H23" si="9">E25</f>
        <v>12011351</v>
      </c>
      <c r="G23" s="12">
        <f t="shared" si="9"/>
        <v>11011351</v>
      </c>
      <c r="H23" s="12">
        <f t="shared" si="9"/>
        <v>9577351</v>
      </c>
    </row>
    <row r="24" spans="1:8">
      <c r="A24" t="s">
        <v>93</v>
      </c>
      <c r="C24" s="12">
        <f>C23-C25</f>
        <v>209659</v>
      </c>
      <c r="D24" s="12">
        <f>D23-D25</f>
        <v>345066</v>
      </c>
      <c r="E24">
        <f>-(800000+487000+500000)</f>
        <v>-1787000</v>
      </c>
      <c r="F24">
        <f>-1000000</f>
        <v>-1000000</v>
      </c>
      <c r="G24">
        <f>-1434000</f>
        <v>-1434000</v>
      </c>
      <c r="H24">
        <f>-(1600000+1900000)</f>
        <v>-3500000</v>
      </c>
    </row>
    <row r="25" spans="1:8">
      <c r="A25" t="s">
        <v>85</v>
      </c>
      <c r="B25" s="12">
        <f>'Balance Sheet Input'!F26</f>
        <v>14353076</v>
      </c>
      <c r="C25" s="12">
        <f>'Balance Sheet Input'!E26</f>
        <v>14143417</v>
      </c>
      <c r="D25" s="12">
        <f>'Balance Sheet Input'!D26</f>
        <v>13798351</v>
      </c>
      <c r="E25" s="12">
        <f>E23+E24</f>
        <v>12011351</v>
      </c>
      <c r="F25" s="12">
        <f t="shared" ref="F25:H25" si="10">F23+F24</f>
        <v>11011351</v>
      </c>
      <c r="G25" s="12">
        <f t="shared" si="10"/>
        <v>9577351</v>
      </c>
      <c r="H25" s="12">
        <f t="shared" si="10"/>
        <v>6077351</v>
      </c>
    </row>
    <row r="27" spans="1:8">
      <c r="A27" t="s">
        <v>94</v>
      </c>
      <c r="B27" s="70">
        <f>'P&amp;L Input'!F14</f>
        <v>-706212</v>
      </c>
      <c r="C27" s="70">
        <f>'P&amp;L Input'!E14</f>
        <v>-699826</v>
      </c>
      <c r="D27" s="70">
        <f>'P&amp;L Input'!D14</f>
        <v>-718733</v>
      </c>
      <c r="E27">
        <f>E25*E28</f>
        <v>-603657.85542436212</v>
      </c>
      <c r="F27">
        <f t="shared" ref="F27:H27" si="11">F25*F28</f>
        <v>-553400.57333974377</v>
      </c>
      <c r="G27">
        <f t="shared" si="11"/>
        <v>-481331.63083040115</v>
      </c>
      <c r="H27">
        <f t="shared" si="11"/>
        <v>-305431.14353423711</v>
      </c>
    </row>
    <row r="28" spans="1:8">
      <c r="B28" s="18">
        <f>B27/B25</f>
        <v>-4.9202832897979498E-2</v>
      </c>
      <c r="C28" s="18">
        <f t="shared" ref="C28:D28" si="12">C27/C25</f>
        <v>-4.9480687729139286E-2</v>
      </c>
      <c r="D28" s="18">
        <f t="shared" si="12"/>
        <v>-5.2088325626736119E-2</v>
      </c>
      <c r="E28" s="18">
        <f>AVERAGE($B$28:$D$28)</f>
        <v>-5.0257282084618299E-2</v>
      </c>
      <c r="F28" s="18">
        <f t="shared" ref="F28:H28" si="13">AVERAGE($B$28:$D$28)</f>
        <v>-5.0257282084618299E-2</v>
      </c>
      <c r="G28" s="18">
        <f t="shared" si="13"/>
        <v>-5.0257282084618299E-2</v>
      </c>
      <c r="H28" s="18">
        <f t="shared" si="13"/>
        <v>-5.0257282084618299E-2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7905-15AE-4B83-A053-C78845E1C4A0}">
  <dimension ref="A1:H100"/>
  <sheetViews>
    <sheetView workbookViewId="0">
      <selection activeCell="E25" sqref="E25"/>
    </sheetView>
  </sheetViews>
  <sheetFormatPr defaultColWidth="14.44140625" defaultRowHeight="14.4"/>
  <cols>
    <col min="1" max="1" width="31.33203125" customWidth="1"/>
    <col min="2" max="8" width="14" customWidth="1"/>
    <col min="9" max="11" width="8.6640625" customWidth="1"/>
  </cols>
  <sheetData>
    <row r="1" spans="1:8" ht="24.75" customHeight="1">
      <c r="A1" s="127" t="s">
        <v>95</v>
      </c>
      <c r="B1" s="126"/>
      <c r="C1" s="126"/>
      <c r="D1" s="126"/>
      <c r="E1" s="126"/>
      <c r="F1" s="126"/>
      <c r="G1" s="126"/>
      <c r="H1" s="126"/>
    </row>
    <row r="2" spans="1:8" ht="14.25" customHeight="1"/>
    <row r="3" spans="1:8" ht="14.25" customHeight="1">
      <c r="A3" s="4" t="s">
        <v>44</v>
      </c>
      <c r="B3" s="9">
        <v>2022</v>
      </c>
      <c r="C3" s="9">
        <v>2023</v>
      </c>
      <c r="D3" s="9">
        <v>2024</v>
      </c>
      <c r="E3" s="25">
        <v>2025</v>
      </c>
      <c r="F3" s="25">
        <v>2026</v>
      </c>
      <c r="G3" s="25">
        <v>2027</v>
      </c>
      <c r="H3" s="25">
        <v>2028</v>
      </c>
    </row>
    <row r="4" spans="1:8" ht="14.25" customHeight="1">
      <c r="A4" s="8" t="s">
        <v>52</v>
      </c>
      <c r="B4" s="30">
        <f>'Revenue Modelling'!B3</f>
        <v>31469852</v>
      </c>
      <c r="C4" s="30">
        <f>'Revenue Modelling'!C3</f>
        <v>33640458</v>
      </c>
      <c r="D4" s="30">
        <f>'Revenue Modelling'!D3</f>
        <v>39000966</v>
      </c>
      <c r="E4" s="30">
        <f>'Revenue Modelling'!E3</f>
        <v>43453339.647003874</v>
      </c>
      <c r="F4" s="30">
        <f>'Revenue Modelling'!F3</f>
        <v>48413998.937305264</v>
      </c>
      <c r="G4" s="30">
        <f>'Revenue Modelling'!G3</f>
        <v>53940970.064495593</v>
      </c>
      <c r="H4" s="30">
        <f>'Revenue Modelling'!H3</f>
        <v>60098903.527194574</v>
      </c>
    </row>
    <row r="5" spans="1:8" ht="14.25" customHeight="1">
      <c r="A5" s="33" t="s">
        <v>70</v>
      </c>
      <c r="B5" s="34">
        <f>'Revenue Modelling'!B4</f>
        <v>145698</v>
      </c>
      <c r="C5" s="34">
        <f>'Revenue Modelling'!C4</f>
        <v>82839</v>
      </c>
      <c r="D5" s="34">
        <f>'Revenue Modelling'!D4</f>
        <v>0</v>
      </c>
      <c r="E5" s="34">
        <f>'Revenue Modelling'!E4</f>
        <v>0</v>
      </c>
      <c r="F5" s="34">
        <f>'Revenue Modelling'!F4</f>
        <v>0</v>
      </c>
      <c r="G5" s="34">
        <f>'Revenue Modelling'!G4</f>
        <v>0</v>
      </c>
      <c r="H5" s="34">
        <f>'Revenue Modelling'!H4</f>
        <v>0</v>
      </c>
    </row>
    <row r="6" spans="1:8" ht="14.25" customHeight="1">
      <c r="A6" s="35" t="s">
        <v>54</v>
      </c>
      <c r="B6" s="26">
        <f t="shared" ref="B6:H6" si="0">SUM(B4:B5)</f>
        <v>31615550</v>
      </c>
      <c r="C6" s="26">
        <f t="shared" si="0"/>
        <v>33723297</v>
      </c>
      <c r="D6" s="26">
        <f t="shared" si="0"/>
        <v>39000966</v>
      </c>
      <c r="E6" s="26">
        <f t="shared" si="0"/>
        <v>43453339.647003874</v>
      </c>
      <c r="F6" s="26">
        <f t="shared" si="0"/>
        <v>48413998.937305264</v>
      </c>
      <c r="G6" s="26">
        <f t="shared" si="0"/>
        <v>53940970.064495593</v>
      </c>
      <c r="H6" s="26">
        <f t="shared" si="0"/>
        <v>60098903.527194574</v>
      </c>
    </row>
    <row r="7" spans="1:8" ht="14.25" customHeight="1">
      <c r="A7" s="36" t="s">
        <v>72</v>
      </c>
      <c r="B7" s="37">
        <f>'Other Items'!B4</f>
        <v>18831603</v>
      </c>
      <c r="C7" s="37">
        <f>'Other Items'!C4</f>
        <v>19358421</v>
      </c>
      <c r="D7" s="37">
        <f>'Other Items'!D4</f>
        <v>20709550</v>
      </c>
      <c r="E7" s="37">
        <f>'Other Items'!E4</f>
        <v>24633432.701615594</v>
      </c>
      <c r="F7" s="37">
        <f>'Other Items'!F4</f>
        <v>27445600.138594378</v>
      </c>
      <c r="G7" s="37">
        <f>'Other Items'!G4</f>
        <v>30578806.295161977</v>
      </c>
      <c r="H7" s="37">
        <f>'Other Items'!H4</f>
        <v>34069701.143905349</v>
      </c>
    </row>
    <row r="8" spans="1:8" ht="14.25" customHeight="1">
      <c r="A8" s="35" t="s">
        <v>96</v>
      </c>
      <c r="B8" s="26">
        <f>B6-B7</f>
        <v>12783947</v>
      </c>
      <c r="C8" s="26">
        <f t="shared" ref="C8:H8" si="1">C6-C7</f>
        <v>14364876</v>
      </c>
      <c r="D8" s="26">
        <f t="shared" si="1"/>
        <v>18291416</v>
      </c>
      <c r="E8" s="26">
        <f t="shared" si="1"/>
        <v>18819906.94538828</v>
      </c>
      <c r="F8" s="26">
        <f t="shared" si="1"/>
        <v>20968398.798710886</v>
      </c>
      <c r="G8" s="26">
        <f t="shared" si="1"/>
        <v>23362163.769333616</v>
      </c>
      <c r="H8" s="26">
        <f t="shared" si="1"/>
        <v>26029202.383289225</v>
      </c>
    </row>
    <row r="9" spans="1:8" ht="14.25" customHeight="1">
      <c r="A9" t="s">
        <v>161</v>
      </c>
      <c r="B9" s="26"/>
      <c r="C9" s="26"/>
      <c r="D9" s="26"/>
      <c r="E9" s="26"/>
      <c r="F9" s="26"/>
      <c r="G9" s="26"/>
      <c r="H9" s="26"/>
    </row>
    <row r="10" spans="1:8" ht="14.25" customHeight="1">
      <c r="A10" s="38" t="s">
        <v>74</v>
      </c>
      <c r="B10" s="26">
        <f>'Other Items'!B7</f>
        <v>2530502</v>
      </c>
      <c r="C10" s="26">
        <f>'Other Items'!C7</f>
        <v>2657883</v>
      </c>
      <c r="D10" s="26">
        <f>'Other Items'!D7</f>
        <v>2917554</v>
      </c>
      <c r="E10" s="26">
        <f>'Other Items'!E7</f>
        <v>3384456.94865957</v>
      </c>
      <c r="F10" s="26">
        <f>'Other Items'!F7</f>
        <v>3770828.5818040157</v>
      </c>
      <c r="G10" s="26">
        <f>'Other Items'!G7</f>
        <v>4201308.6320928521</v>
      </c>
      <c r="H10" s="26">
        <f>'Other Items'!H7</f>
        <v>4680932.5428559892</v>
      </c>
    </row>
    <row r="11" spans="1:8" ht="14.25" customHeight="1">
      <c r="A11" s="38" t="s">
        <v>7</v>
      </c>
      <c r="B11" s="26">
        <f>'Other Items'!B10</f>
        <v>2711041</v>
      </c>
      <c r="C11" s="26">
        <f>'Other Items'!C10</f>
        <v>2675758</v>
      </c>
      <c r="D11" s="26">
        <f>'Other Items'!D10</f>
        <v>2925295</v>
      </c>
      <c r="E11" s="26">
        <f>'Other Items'!E10</f>
        <v>3477722.0206443057</v>
      </c>
      <c r="F11" s="26">
        <f>'Other Items'!F10</f>
        <v>3874740.8502887245</v>
      </c>
      <c r="G11" s="26">
        <f>'Other Items'!G10</f>
        <v>4317083.5874095159</v>
      </c>
      <c r="H11" s="26">
        <f>'Other Items'!H10</f>
        <v>4809924.4364411803</v>
      </c>
    </row>
    <row r="12" spans="1:8" ht="14.25" customHeight="1">
      <c r="A12" s="39" t="s">
        <v>8</v>
      </c>
      <c r="B12" s="37">
        <f>'Other Items'!B13</f>
        <v>1572891</v>
      </c>
      <c r="C12" s="37">
        <f>'Other Items'!C13</f>
        <v>1720285</v>
      </c>
      <c r="D12" s="37">
        <f>'Other Items'!D13</f>
        <v>1702039</v>
      </c>
      <c r="E12" s="37">
        <f>'Other Items'!E13</f>
        <v>2091601.3382442084</v>
      </c>
      <c r="F12" s="37">
        <f>'Other Items'!F13</f>
        <v>2330379.8002555482</v>
      </c>
      <c r="G12" s="37">
        <f>'Other Items'!G13</f>
        <v>2596417.354560433</v>
      </c>
      <c r="H12" s="37">
        <f>'Other Items'!H13</f>
        <v>2892825.9154680884</v>
      </c>
    </row>
    <row r="13" spans="1:8" ht="14.25" customHeight="1">
      <c r="A13" s="35" t="s">
        <v>97</v>
      </c>
      <c r="B13" s="26">
        <f t="shared" ref="B13:H13" si="2">B8-SUM(B10:B12)</f>
        <v>5969513</v>
      </c>
      <c r="C13" s="26">
        <f t="shared" si="2"/>
        <v>7310950</v>
      </c>
      <c r="D13" s="26">
        <f t="shared" si="2"/>
        <v>10746528</v>
      </c>
      <c r="E13" s="26">
        <f t="shared" si="2"/>
        <v>9866126.6378401946</v>
      </c>
      <c r="F13" s="26">
        <f t="shared" si="2"/>
        <v>10992449.566362597</v>
      </c>
      <c r="G13" s="26">
        <f t="shared" si="2"/>
        <v>12247354.195270816</v>
      </c>
      <c r="H13" s="26">
        <f t="shared" si="2"/>
        <v>13645519.488523968</v>
      </c>
    </row>
    <row r="14" spans="1:8" ht="14.25" customHeight="1">
      <c r="A14" s="39" t="s">
        <v>84</v>
      </c>
      <c r="B14" s="37">
        <f>Schedules!B6</f>
        <v>336682</v>
      </c>
      <c r="C14" s="37">
        <f>Schedules!C6</f>
        <v>356947</v>
      </c>
      <c r="D14" s="37">
        <f>Schedules!D6</f>
        <v>328914</v>
      </c>
      <c r="E14" s="37">
        <f>Schedules!E6</f>
        <v>336827.71302715113</v>
      </c>
      <c r="F14" s="37">
        <f>Schedules!F6</f>
        <v>325461.54994137218</v>
      </c>
      <c r="G14" s="37">
        <f>Schedules!G6</f>
        <v>317337.34042785596</v>
      </c>
      <c r="H14" s="37">
        <f>Schedules!H6</f>
        <v>311376.14839906566</v>
      </c>
    </row>
    <row r="15" spans="1:8" ht="14.25" customHeight="1">
      <c r="A15" s="35" t="s">
        <v>98</v>
      </c>
      <c r="B15" s="26">
        <f t="shared" ref="B15:H15" si="3">B13-B14</f>
        <v>5632831</v>
      </c>
      <c r="C15" s="26">
        <f t="shared" si="3"/>
        <v>6954003</v>
      </c>
      <c r="D15" s="26">
        <f t="shared" si="3"/>
        <v>10417614</v>
      </c>
      <c r="E15" s="26">
        <f t="shared" si="3"/>
        <v>9529298.9248130433</v>
      </c>
      <c r="F15" s="26">
        <f t="shared" si="3"/>
        <v>10666988.016421225</v>
      </c>
      <c r="G15" s="26">
        <f t="shared" si="3"/>
        <v>11930016.854842961</v>
      </c>
      <c r="H15" s="26">
        <f t="shared" si="3"/>
        <v>13334143.340124901</v>
      </c>
    </row>
    <row r="16" spans="1:8" ht="14.25" customHeight="1">
      <c r="A16" s="40" t="s">
        <v>99</v>
      </c>
      <c r="B16" s="26">
        <f>Schedules!B27</f>
        <v>-706212</v>
      </c>
      <c r="C16" s="26">
        <f>Schedules!C27</f>
        <v>-699826</v>
      </c>
      <c r="D16" s="26">
        <f>Schedules!D27</f>
        <v>-718733</v>
      </c>
      <c r="E16" s="26">
        <f>Schedules!E27</f>
        <v>-603657.85542436212</v>
      </c>
      <c r="F16" s="26">
        <f>Schedules!F27</f>
        <v>-553400.57333974377</v>
      </c>
      <c r="G16" s="26">
        <f>Schedules!G27</f>
        <v>-481331.63083040115</v>
      </c>
      <c r="H16" s="26">
        <f>Schedules!H27</f>
        <v>-305431.14353423711</v>
      </c>
    </row>
    <row r="17" spans="1:8" ht="14.25" customHeight="1">
      <c r="A17" s="41" t="s">
        <v>100</v>
      </c>
      <c r="B17" s="37">
        <f>'P&amp;L Input'!F15</f>
        <v>337310</v>
      </c>
      <c r="C17" s="37">
        <f>'P&amp;L Input'!E15</f>
        <v>-48772</v>
      </c>
      <c r="D17" s="37">
        <f>'P&amp;L Input'!D15</f>
        <v>266776</v>
      </c>
      <c r="E17" s="37">
        <v>0</v>
      </c>
      <c r="F17" s="37">
        <v>0</v>
      </c>
      <c r="G17" s="37">
        <v>0</v>
      </c>
      <c r="H17" s="37">
        <v>0</v>
      </c>
    </row>
    <row r="18" spans="1:8" ht="14.25" customHeight="1">
      <c r="A18" s="35" t="s">
        <v>101</v>
      </c>
      <c r="B18" s="26">
        <f t="shared" ref="B18:H18" si="4">B15+B16+B17</f>
        <v>5263929</v>
      </c>
      <c r="C18" s="26">
        <f t="shared" si="4"/>
        <v>6205405</v>
      </c>
      <c r="D18" s="26">
        <f t="shared" si="4"/>
        <v>9965657</v>
      </c>
      <c r="E18" s="26">
        <f t="shared" si="4"/>
        <v>8925641.069388682</v>
      </c>
      <c r="F18" s="26">
        <f t="shared" si="4"/>
        <v>10113587.443081481</v>
      </c>
      <c r="G18" s="26">
        <f t="shared" si="4"/>
        <v>11448685.224012559</v>
      </c>
      <c r="H18" s="26">
        <f t="shared" si="4"/>
        <v>13028712.196590664</v>
      </c>
    </row>
    <row r="19" spans="1:8" ht="14.25" customHeight="1">
      <c r="A19" t="s">
        <v>102</v>
      </c>
      <c r="B19" s="26">
        <f>'P&amp;L Input'!F17</f>
        <v>-772005</v>
      </c>
      <c r="C19" s="26">
        <f>'P&amp;L Input'!E17</f>
        <v>-797415</v>
      </c>
      <c r="D19" s="26">
        <f>'P&amp;L Input'!D17</f>
        <v>-1254026</v>
      </c>
      <c r="E19" s="26">
        <f>E18*E20</f>
        <v>-1284832.4231916172</v>
      </c>
      <c r="F19" s="26">
        <f t="shared" ref="F19:H19" si="5">F18*F20</f>
        <v>-1455835.4924465576</v>
      </c>
      <c r="G19" s="26">
        <f t="shared" si="5"/>
        <v>-1648020.7824146333</v>
      </c>
      <c r="H19" s="26">
        <f t="shared" si="5"/>
        <v>-1875463.2560816458</v>
      </c>
    </row>
    <row r="20" spans="1:8" ht="14.25" customHeight="1">
      <c r="A20" s="42" t="s">
        <v>103</v>
      </c>
      <c r="B20" s="43">
        <f>B19/B21</f>
        <v>-0.17186510724580381</v>
      </c>
      <c r="C20" s="43">
        <f>C19/C21</f>
        <v>-0.14745127117468781</v>
      </c>
      <c r="D20" s="43">
        <f>D19/D21</f>
        <v>-0.1439484753199487</v>
      </c>
      <c r="E20" s="43">
        <f>$D$20</f>
        <v>-0.1439484753199487</v>
      </c>
      <c r="F20" s="43">
        <f t="shared" ref="F20:H20" si="6">$D$20</f>
        <v>-0.1439484753199487</v>
      </c>
      <c r="G20" s="43">
        <f t="shared" si="6"/>
        <v>-0.1439484753199487</v>
      </c>
      <c r="H20" s="43">
        <f t="shared" si="6"/>
        <v>-0.1439484753199487</v>
      </c>
    </row>
    <row r="21" spans="1:8" s="73" customFormat="1" ht="14.25" customHeight="1">
      <c r="A21" s="71" t="s">
        <v>104</v>
      </c>
      <c r="B21" s="72">
        <f t="shared" ref="B21:H21" si="7">B18+B19</f>
        <v>4491924</v>
      </c>
      <c r="C21" s="72">
        <f t="shared" si="7"/>
        <v>5407990</v>
      </c>
      <c r="D21" s="72">
        <f t="shared" si="7"/>
        <v>8711631</v>
      </c>
      <c r="E21" s="72">
        <f t="shared" si="7"/>
        <v>7640808.6461970648</v>
      </c>
      <c r="F21" s="72">
        <f t="shared" si="7"/>
        <v>8657751.9506349228</v>
      </c>
      <c r="G21" s="72">
        <f t="shared" si="7"/>
        <v>9800664.4415979255</v>
      </c>
      <c r="H21" s="72">
        <f t="shared" si="7"/>
        <v>11153248.940509018</v>
      </c>
    </row>
    <row r="22" spans="1:8" ht="14.25" customHeight="1"/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D482-088A-457A-B65D-EDFC5109769A}">
  <dimension ref="A1:H101"/>
  <sheetViews>
    <sheetView topLeftCell="A26" workbookViewId="0">
      <selection activeCell="F39" sqref="F39"/>
    </sheetView>
  </sheetViews>
  <sheetFormatPr defaultColWidth="14.44140625" defaultRowHeight="14.4"/>
  <cols>
    <col min="1" max="1" width="42.6640625" customWidth="1"/>
    <col min="2" max="6" width="13.109375" bestFit="1" customWidth="1"/>
    <col min="7" max="8" width="14.109375" bestFit="1" customWidth="1"/>
    <col min="9" max="9" width="8.6640625" customWidth="1"/>
    <col min="12" max="12" width="12.88671875" bestFit="1" customWidth="1"/>
    <col min="13" max="13" width="13.6640625" bestFit="1" customWidth="1"/>
  </cols>
  <sheetData>
    <row r="1" spans="1:8" ht="24.6">
      <c r="A1" s="123" t="s">
        <v>45</v>
      </c>
      <c r="B1" s="126"/>
      <c r="C1" s="126"/>
      <c r="D1" s="126"/>
      <c r="E1" s="126"/>
      <c r="F1" s="126"/>
      <c r="G1" s="126"/>
      <c r="H1" s="126"/>
    </row>
    <row r="2" spans="1:8" ht="14.25" customHeight="1">
      <c r="A2" s="44"/>
      <c r="B2" s="44"/>
      <c r="C2" s="44"/>
      <c r="D2" s="44"/>
    </row>
    <row r="3" spans="1:8" ht="14.25" customHeight="1">
      <c r="A3" s="4" t="s">
        <v>44</v>
      </c>
      <c r="B3" s="9">
        <v>2022</v>
      </c>
      <c r="C3" s="9">
        <v>2023</v>
      </c>
      <c r="D3" s="9">
        <v>2024</v>
      </c>
      <c r="E3" s="25">
        <v>2025</v>
      </c>
      <c r="F3" s="25">
        <v>2026</v>
      </c>
      <c r="G3" s="25">
        <v>2027</v>
      </c>
      <c r="H3" s="25">
        <v>2028</v>
      </c>
    </row>
    <row r="4" spans="1:8" ht="14.25" customHeight="1">
      <c r="A4" s="45" t="s">
        <v>16</v>
      </c>
      <c r="B4" s="44"/>
      <c r="C4" s="44"/>
      <c r="D4" s="44"/>
    </row>
    <row r="5" spans="1:8" ht="14.25" customHeight="1">
      <c r="A5" s="46" t="s">
        <v>17</v>
      </c>
      <c r="B5" s="46"/>
      <c r="C5" s="45"/>
      <c r="D5" s="45"/>
    </row>
    <row r="6" spans="1:8" ht="14.25" customHeight="1">
      <c r="A6" s="46" t="s">
        <v>105</v>
      </c>
      <c r="B6" s="47">
        <v>5147176</v>
      </c>
      <c r="C6" s="47">
        <v>7116913</v>
      </c>
      <c r="D6" s="47">
        <v>7804733</v>
      </c>
      <c r="E6" s="47">
        <f>D6+'Cashflow Statement'!E25</f>
        <v>12727070.121556874</v>
      </c>
      <c r="F6" s="47">
        <f>E6+'Cashflow Statement'!F25</f>
        <v>19843965.512419086</v>
      </c>
      <c r="G6" s="47">
        <f>F6+'Cashflow Statement'!G25</f>
        <v>27849142.29545752</v>
      </c>
      <c r="H6" s="47">
        <f>G6+'Cashflow Statement'!H25</f>
        <v>35269150.996525906</v>
      </c>
    </row>
    <row r="7" spans="1:8" ht="14.25" customHeight="1">
      <c r="A7" s="74" t="s">
        <v>162</v>
      </c>
      <c r="B7" s="47">
        <v>911276</v>
      </c>
      <c r="C7" s="47">
        <v>20973</v>
      </c>
      <c r="D7" s="47">
        <v>1779006</v>
      </c>
      <c r="E7" s="47">
        <v>1779006</v>
      </c>
      <c r="F7" s="47">
        <v>1779006</v>
      </c>
      <c r="G7" s="47">
        <v>1779006</v>
      </c>
      <c r="H7" s="47">
        <v>1779006</v>
      </c>
    </row>
    <row r="8" spans="1:8" ht="14.25" customHeight="1">
      <c r="A8" s="46" t="s">
        <v>106</v>
      </c>
      <c r="B8" s="48">
        <v>3208021</v>
      </c>
      <c r="C8" s="48">
        <v>2780247</v>
      </c>
      <c r="D8" s="48">
        <v>3516640</v>
      </c>
      <c r="E8" s="48">
        <f>'Other Items'!E16</f>
        <v>3969906.6778323445</v>
      </c>
      <c r="F8" s="48">
        <f>'Other Items'!F16</f>
        <v>4423113.6028465973</v>
      </c>
      <c r="G8" s="48">
        <f>'Other Items'!G16</f>
        <v>4928058.9019712033</v>
      </c>
      <c r="H8" s="48">
        <f>'Other Items'!H16</f>
        <v>5490649.0589949917</v>
      </c>
    </row>
    <row r="9" spans="1:8" ht="14.25" customHeight="1">
      <c r="A9" s="46" t="s">
        <v>21</v>
      </c>
      <c r="B9" s="49">
        <f t="shared" ref="B9:H9" si="0">SUM(B6:B8)</f>
        <v>9266473</v>
      </c>
      <c r="C9" s="49">
        <f t="shared" si="0"/>
        <v>9918133</v>
      </c>
      <c r="D9" s="49">
        <f t="shared" si="0"/>
        <v>13100379</v>
      </c>
      <c r="E9" s="49">
        <f t="shared" si="0"/>
        <v>18475982.799389221</v>
      </c>
      <c r="F9" s="49">
        <f t="shared" si="0"/>
        <v>26046085.115265682</v>
      </c>
      <c r="G9" s="49">
        <f t="shared" si="0"/>
        <v>34556207.197428726</v>
      </c>
      <c r="H9" s="49">
        <f t="shared" si="0"/>
        <v>42538806.0555209</v>
      </c>
    </row>
    <row r="10" spans="1:8" ht="14.25" customHeight="1">
      <c r="A10" s="46" t="s">
        <v>107</v>
      </c>
      <c r="B10" s="49">
        <v>32736713</v>
      </c>
      <c r="C10" s="49">
        <v>31658056</v>
      </c>
      <c r="D10" s="49">
        <v>32452462</v>
      </c>
      <c r="E10" s="49">
        <f>Schedules!E17</f>
        <v>33259261.43530117</v>
      </c>
      <c r="F10" s="49">
        <f>Schedules!F17</f>
        <v>33811979.169259466</v>
      </c>
      <c r="G10" s="49">
        <f>Schedules!G17</f>
        <v>34190632.004233196</v>
      </c>
      <c r="H10" s="49">
        <f>Schedules!H17</f>
        <v>34450037.4124998</v>
      </c>
    </row>
    <row r="11" spans="1:8" ht="14.25" customHeight="1">
      <c r="A11" s="46" t="s">
        <v>108</v>
      </c>
      <c r="B11" s="49">
        <v>1398257</v>
      </c>
      <c r="C11" s="49">
        <v>1491444</v>
      </c>
      <c r="D11" s="49">
        <v>1593756</v>
      </c>
      <c r="E11" s="49">
        <f>Schedules!E7</f>
        <v>1688154.2869728489</v>
      </c>
      <c r="F11" s="49">
        <f>Schedules!F7</f>
        <v>1793918.7370314766</v>
      </c>
      <c r="G11" s="49">
        <f>Schedules!G7</f>
        <v>1907807.3966036206</v>
      </c>
      <c r="H11" s="49">
        <f>Schedules!H7</f>
        <v>2027657.2482045549</v>
      </c>
    </row>
    <row r="12" spans="1:8" ht="14.25" customHeight="1">
      <c r="A12" s="46" t="s">
        <v>109</v>
      </c>
      <c r="B12" s="49">
        <v>5193325</v>
      </c>
      <c r="C12" s="49">
        <v>5664359</v>
      </c>
      <c r="D12" s="49">
        <v>6483777</v>
      </c>
      <c r="E12" s="49">
        <v>6483777</v>
      </c>
      <c r="F12" s="49">
        <v>6483777</v>
      </c>
      <c r="G12" s="49">
        <v>6483777</v>
      </c>
      <c r="H12" s="49">
        <v>6483777</v>
      </c>
    </row>
    <row r="13" spans="1:8" ht="14.25" customHeight="1" thickBot="1">
      <c r="A13" s="45" t="s">
        <v>25</v>
      </c>
      <c r="B13" s="50">
        <f t="shared" ref="B13:F13" si="1">SUM(B9:B12)</f>
        <v>48594768</v>
      </c>
      <c r="C13" s="50">
        <f t="shared" si="1"/>
        <v>48731992</v>
      </c>
      <c r="D13" s="50">
        <f t="shared" si="1"/>
        <v>53630374</v>
      </c>
      <c r="E13" s="50">
        <f>SUM(E9:E12)</f>
        <v>59907175.521663241</v>
      </c>
      <c r="F13" s="50">
        <f t="shared" si="1"/>
        <v>68135760.021556616</v>
      </c>
      <c r="G13" s="50">
        <f t="shared" ref="G13:H13" si="2">ROUND(SUM(G9:G12),3)</f>
        <v>77138423.598000005</v>
      </c>
      <c r="H13" s="50">
        <f t="shared" si="2"/>
        <v>85500277.716000006</v>
      </c>
    </row>
    <row r="14" spans="1:8" ht="14.25" customHeight="1">
      <c r="A14" s="45"/>
      <c r="B14" s="47"/>
      <c r="C14" s="47"/>
      <c r="D14" s="47"/>
    </row>
    <row r="15" spans="1:8" ht="14.25" customHeight="1">
      <c r="A15" s="45" t="s">
        <v>26</v>
      </c>
      <c r="B15" s="51"/>
      <c r="C15" s="51"/>
      <c r="D15" s="51"/>
    </row>
    <row r="16" spans="1:8" ht="14.25" customHeight="1">
      <c r="A16" s="46" t="s">
        <v>27</v>
      </c>
      <c r="B16" s="49"/>
      <c r="C16" s="49"/>
      <c r="D16" s="49"/>
    </row>
    <row r="17" spans="1:8" ht="14.25" customHeight="1">
      <c r="A17" s="46" t="s">
        <v>110</v>
      </c>
      <c r="B17" s="47">
        <v>4480150</v>
      </c>
      <c r="C17" s="47">
        <v>4466470</v>
      </c>
      <c r="D17" s="47">
        <v>4393681</v>
      </c>
      <c r="E17" s="47">
        <v>4393681</v>
      </c>
      <c r="F17" s="47">
        <v>4393681</v>
      </c>
      <c r="G17" s="47">
        <v>4393681</v>
      </c>
      <c r="H17" s="47">
        <v>4393681</v>
      </c>
    </row>
    <row r="18" spans="1:8" ht="14.25" customHeight="1">
      <c r="A18" s="46" t="s">
        <v>111</v>
      </c>
      <c r="B18" s="49">
        <v>671513</v>
      </c>
      <c r="C18" s="49">
        <v>747412</v>
      </c>
      <c r="D18" s="49">
        <v>899909</v>
      </c>
      <c r="E18" s="49">
        <f>'Other Items'!E19</f>
        <v>966630.61038818571</v>
      </c>
      <c r="F18" s="49">
        <f>'Other Items'!F19</f>
        <v>1076981.7400519901</v>
      </c>
      <c r="G18" s="49">
        <f>'Other Items'!G19</f>
        <v>1199930.6207979661</v>
      </c>
      <c r="H18" s="49">
        <f>'Other Items'!H19</f>
        <v>1336915.4194379244</v>
      </c>
    </row>
    <row r="19" spans="1:8" ht="14.25" customHeight="1">
      <c r="A19" s="46" t="s">
        <v>112</v>
      </c>
      <c r="B19" s="49">
        <v>1514650</v>
      </c>
      <c r="C19" s="49">
        <v>1803960</v>
      </c>
      <c r="D19" s="49">
        <v>2156544</v>
      </c>
      <c r="E19" s="49">
        <f>'Other Items'!E22</f>
        <v>2269654.9460763158</v>
      </c>
      <c r="F19" s="49">
        <f>'Other Items'!F22</f>
        <v>2528760.1146432222</v>
      </c>
      <c r="G19" s="49">
        <f>'Other Items'!G22</f>
        <v>2817444.8845033329</v>
      </c>
      <c r="H19" s="49">
        <f>'Other Items'!H22</f>
        <v>3139086.0806636671</v>
      </c>
    </row>
    <row r="20" spans="1:8" ht="14.25" customHeight="1">
      <c r="A20" s="46" t="s">
        <v>113</v>
      </c>
      <c r="B20" s="49">
        <v>1264661</v>
      </c>
      <c r="C20" s="49">
        <v>1442969</v>
      </c>
      <c r="D20" s="49">
        <v>1520813</v>
      </c>
      <c r="E20" s="49">
        <f>'Other Items'!E25</f>
        <v>1763973.3190016737</v>
      </c>
      <c r="F20" s="49">
        <f>'Other Items'!F25</f>
        <v>1965349.5700294306</v>
      </c>
      <c r="G20" s="49">
        <f>'Other Items'!G25</f>
        <v>2189715.0545343384</v>
      </c>
      <c r="H20" s="49">
        <f>'Other Items'!H25</f>
        <v>2439694.2371847462</v>
      </c>
    </row>
    <row r="21" spans="1:8" ht="14.25" customHeight="1">
      <c r="A21" s="46" t="s">
        <v>114</v>
      </c>
      <c r="B21" s="48" t="s">
        <v>160</v>
      </c>
      <c r="C21" s="48">
        <v>399844</v>
      </c>
      <c r="D21" s="48">
        <v>1784453</v>
      </c>
      <c r="E21" s="48">
        <v>1784453</v>
      </c>
      <c r="F21" s="48">
        <v>1784453</v>
      </c>
      <c r="G21" s="48">
        <v>1784453</v>
      </c>
      <c r="H21" s="48">
        <v>1784453</v>
      </c>
    </row>
    <row r="22" spans="1:8" ht="14.25" customHeight="1">
      <c r="A22" s="46" t="s">
        <v>33</v>
      </c>
      <c r="B22" s="49">
        <f t="shared" ref="B22:H22" si="3">SUM(B17:B21)</f>
        <v>7930974</v>
      </c>
      <c r="C22" s="49">
        <f t="shared" si="3"/>
        <v>8860655</v>
      </c>
      <c r="D22" s="49">
        <f t="shared" si="3"/>
        <v>10755400</v>
      </c>
      <c r="E22" s="49">
        <f>SUM(E17:E21)</f>
        <v>11178392.875466175</v>
      </c>
      <c r="F22" s="49">
        <f t="shared" si="3"/>
        <v>11749225.424724642</v>
      </c>
      <c r="G22" s="49">
        <f t="shared" si="3"/>
        <v>12385224.559835637</v>
      </c>
      <c r="H22" s="49">
        <f t="shared" si="3"/>
        <v>13093829.737286339</v>
      </c>
    </row>
    <row r="23" spans="1:8" ht="14.25" customHeight="1">
      <c r="A23" s="46" t="s">
        <v>34</v>
      </c>
      <c r="B23" s="49">
        <v>3081277</v>
      </c>
      <c r="C23" s="49">
        <v>2578173</v>
      </c>
      <c r="D23" s="49">
        <v>1780806</v>
      </c>
      <c r="E23" s="49">
        <v>1780806</v>
      </c>
      <c r="F23" s="49">
        <v>1780806</v>
      </c>
      <c r="G23" s="49">
        <v>1780806</v>
      </c>
      <c r="H23" s="49">
        <v>1780806</v>
      </c>
    </row>
    <row r="24" spans="1:8" ht="14.25" customHeight="1">
      <c r="A24" s="46" t="s">
        <v>115</v>
      </c>
      <c r="B24" s="49">
        <v>14353076</v>
      </c>
      <c r="C24" s="49">
        <v>14143417</v>
      </c>
      <c r="D24" s="49">
        <v>13798351</v>
      </c>
      <c r="E24" s="49">
        <f>Schedules!E25</f>
        <v>12011351</v>
      </c>
      <c r="F24" s="49">
        <f>Schedules!F25</f>
        <v>11011351</v>
      </c>
      <c r="G24" s="49">
        <f>Schedules!G25</f>
        <v>9577351</v>
      </c>
      <c r="H24" s="49">
        <f>Schedules!H25</f>
        <v>6077351</v>
      </c>
    </row>
    <row r="25" spans="1:8" ht="14.25" customHeight="1">
      <c r="A25" s="46" t="s">
        <v>116</v>
      </c>
      <c r="B25" s="48">
        <v>2452040</v>
      </c>
      <c r="C25" s="48">
        <v>2561434</v>
      </c>
      <c r="D25" s="48">
        <v>2552250</v>
      </c>
      <c r="E25" s="48">
        <v>2552250</v>
      </c>
      <c r="F25" s="48">
        <v>2552250</v>
      </c>
      <c r="G25" s="48">
        <v>2552250</v>
      </c>
      <c r="H25" s="48">
        <v>2552250</v>
      </c>
    </row>
    <row r="26" spans="1:8" ht="14.25" customHeight="1">
      <c r="A26" s="45" t="s">
        <v>37</v>
      </c>
      <c r="B26" s="49">
        <f t="shared" ref="B26:H26" si="4">SUM(B22:B25)</f>
        <v>27817367</v>
      </c>
      <c r="C26" s="49">
        <f t="shared" si="4"/>
        <v>28143679</v>
      </c>
      <c r="D26" s="49">
        <f t="shared" si="4"/>
        <v>28886807</v>
      </c>
      <c r="E26" s="49">
        <f t="shared" si="4"/>
        <v>27522799.875466175</v>
      </c>
      <c r="F26" s="49">
        <f t="shared" si="4"/>
        <v>27093632.424724642</v>
      </c>
      <c r="G26" s="49">
        <f t="shared" si="4"/>
        <v>26295631.559835635</v>
      </c>
      <c r="H26" s="49">
        <f t="shared" si="4"/>
        <v>23504236.737286337</v>
      </c>
    </row>
    <row r="27" spans="1:8" ht="14.25" customHeight="1">
      <c r="A27" s="46" t="s">
        <v>38</v>
      </c>
      <c r="B27" s="49"/>
      <c r="C27" s="49"/>
      <c r="D27" s="49"/>
      <c r="E27" s="49"/>
      <c r="F27" s="49"/>
      <c r="G27" s="49"/>
      <c r="H27" s="49"/>
    </row>
    <row r="28" spans="1:8" ht="14.25" customHeight="1">
      <c r="A28" s="46" t="s">
        <v>117</v>
      </c>
      <c r="B28" s="49">
        <v>4637601</v>
      </c>
      <c r="C28" s="49">
        <v>5145172</v>
      </c>
      <c r="D28" s="49">
        <v>6252126</v>
      </c>
      <c r="E28" s="49">
        <v>6252126</v>
      </c>
      <c r="F28" s="49">
        <v>6252126</v>
      </c>
      <c r="G28" s="49">
        <v>6252126</v>
      </c>
      <c r="H28" s="49">
        <v>6252126</v>
      </c>
    </row>
    <row r="29" spans="1:8" ht="14.25" customHeight="1">
      <c r="A29" s="46" t="s">
        <v>118</v>
      </c>
      <c r="B29" s="49">
        <v>-824190</v>
      </c>
      <c r="C29" s="49">
        <v>-6922200</v>
      </c>
      <c r="D29" s="49">
        <v>-13171638</v>
      </c>
      <c r="E29" s="49">
        <v>-13171638</v>
      </c>
      <c r="F29" s="49">
        <v>-13171638</v>
      </c>
      <c r="G29" s="49">
        <v>-13171638</v>
      </c>
      <c r="H29" s="49">
        <v>-13171638</v>
      </c>
    </row>
    <row r="30" spans="1:8" ht="14.25" customHeight="1">
      <c r="A30" s="46" t="s">
        <v>119</v>
      </c>
      <c r="B30" s="49">
        <v>-217306</v>
      </c>
      <c r="C30" s="49">
        <v>-223945</v>
      </c>
      <c r="D30" s="49">
        <v>362162</v>
      </c>
      <c r="E30" s="49">
        <v>362162</v>
      </c>
      <c r="F30" s="49">
        <v>362162</v>
      </c>
      <c r="G30" s="49">
        <v>362162</v>
      </c>
      <c r="H30" s="49">
        <v>362162</v>
      </c>
    </row>
    <row r="31" spans="1:8" ht="14.25" customHeight="1">
      <c r="A31" s="46" t="s">
        <v>120</v>
      </c>
      <c r="B31" s="48">
        <v>17181296</v>
      </c>
      <c r="C31" s="48">
        <v>22589286</v>
      </c>
      <c r="D31" s="48">
        <v>31300917</v>
      </c>
      <c r="E31" s="48">
        <f>D31+'P&amp;L'!E21</f>
        <v>38941725.646197066</v>
      </c>
      <c r="F31" s="48">
        <f>E31+'P&amp;L'!F21</f>
        <v>47599477.596831992</v>
      </c>
      <c r="G31" s="48">
        <f>F31+'P&amp;L'!G21</f>
        <v>57400142.038429916</v>
      </c>
      <c r="H31" s="48">
        <f>G31+'P&amp;L'!H21</f>
        <v>68553390.978938937</v>
      </c>
    </row>
    <row r="32" spans="1:8" ht="14.25" customHeight="1">
      <c r="A32" s="45" t="s">
        <v>41</v>
      </c>
      <c r="B32" s="49">
        <f t="shared" ref="B32:H32" si="5">SUM(B28:B31)</f>
        <v>20777401</v>
      </c>
      <c r="C32" s="49">
        <f t="shared" si="5"/>
        <v>20588313</v>
      </c>
      <c r="D32" s="49">
        <f t="shared" si="5"/>
        <v>24743567</v>
      </c>
      <c r="E32" s="49">
        <f t="shared" si="5"/>
        <v>32384375.646197066</v>
      </c>
      <c r="F32" s="49">
        <f t="shared" si="5"/>
        <v>41042127.596831992</v>
      </c>
      <c r="G32" s="49">
        <f t="shared" si="5"/>
        <v>50842792.038429916</v>
      </c>
      <c r="H32" s="49">
        <f t="shared" si="5"/>
        <v>61996040.978938937</v>
      </c>
    </row>
    <row r="33" spans="1:8" ht="14.25" customHeight="1" thickBot="1">
      <c r="A33" s="45" t="s">
        <v>42</v>
      </c>
      <c r="B33" s="50">
        <f t="shared" ref="B33:F33" si="6">B26+B32</f>
        <v>48594768</v>
      </c>
      <c r="C33" s="50">
        <f t="shared" si="6"/>
        <v>48731992</v>
      </c>
      <c r="D33" s="50">
        <f t="shared" si="6"/>
        <v>53630374</v>
      </c>
      <c r="E33" s="50">
        <f>E26+E32</f>
        <v>59907175.521663241</v>
      </c>
      <c r="F33" s="50">
        <f t="shared" si="6"/>
        <v>68135760.021556631</v>
      </c>
      <c r="G33" s="50">
        <f t="shared" ref="G33:H33" si="7">ROUND(G26+G32,3)</f>
        <v>77138423.598000005</v>
      </c>
      <c r="H33" s="50">
        <f t="shared" si="7"/>
        <v>85500277.716000006</v>
      </c>
    </row>
    <row r="34" spans="1:8" ht="14.25" customHeight="1"/>
    <row r="35" spans="1:8" ht="14.25" customHeight="1"/>
    <row r="36" spans="1:8" ht="14.25" customHeight="1">
      <c r="A36" t="s">
        <v>121</v>
      </c>
      <c r="B36" t="b">
        <f t="shared" ref="B36:H36" si="8">B33=B13</f>
        <v>1</v>
      </c>
      <c r="C36" t="b">
        <f t="shared" si="8"/>
        <v>1</v>
      </c>
      <c r="D36" t="b">
        <f t="shared" si="8"/>
        <v>1</v>
      </c>
      <c r="E36" t="b">
        <f t="shared" si="8"/>
        <v>1</v>
      </c>
      <c r="F36" t="b">
        <f t="shared" si="8"/>
        <v>1</v>
      </c>
      <c r="G36" t="b">
        <f t="shared" si="8"/>
        <v>1</v>
      </c>
      <c r="H36" t="b">
        <f t="shared" si="8"/>
        <v>1</v>
      </c>
    </row>
    <row r="37" spans="1:8" ht="14.25" customHeight="1"/>
    <row r="38" spans="1:8" ht="14.25" customHeight="1"/>
    <row r="39" spans="1:8" ht="14.25" customHeight="1"/>
    <row r="40" spans="1:8" ht="14.25" customHeight="1"/>
    <row r="41" spans="1:8" ht="14.25" customHeight="1"/>
    <row r="42" spans="1:8" ht="14.25" customHeight="1"/>
    <row r="43" spans="1:8" ht="14.25" customHeight="1"/>
    <row r="44" spans="1:8" ht="14.25" customHeight="1"/>
    <row r="45" spans="1:8" ht="14.25" customHeight="1"/>
    <row r="46" spans="1:8" ht="14.25" customHeight="1"/>
    <row r="47" spans="1:8" ht="14.25" customHeight="1"/>
    <row r="48" spans="1: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</sheetData>
  <mergeCells count="1">
    <mergeCell ref="A1:H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A9D4-31EB-415D-B81D-B05480CC4963}">
  <dimension ref="A1:K100"/>
  <sheetViews>
    <sheetView topLeftCell="A7" workbookViewId="0">
      <selection activeCell="F28" sqref="F28"/>
    </sheetView>
  </sheetViews>
  <sheetFormatPr defaultColWidth="14.44140625" defaultRowHeight="14.4"/>
  <cols>
    <col min="1" max="1" width="30.6640625" customWidth="1"/>
    <col min="2" max="2" width="13.109375" customWidth="1"/>
    <col min="3" max="4" width="8.6640625" customWidth="1"/>
    <col min="5" max="8" width="13.21875" bestFit="1" customWidth="1"/>
    <col min="9" max="11" width="8.6640625" customWidth="1"/>
  </cols>
  <sheetData>
    <row r="1" spans="1:11" ht="24.6">
      <c r="A1" s="123" t="s">
        <v>122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2" spans="1:11">
      <c r="A2" s="8"/>
    </row>
    <row r="3" spans="1:11">
      <c r="A3" s="4" t="s">
        <v>44</v>
      </c>
      <c r="B3" s="9">
        <v>2022</v>
      </c>
      <c r="C3" s="9">
        <v>2023</v>
      </c>
      <c r="D3" s="9">
        <v>2024</v>
      </c>
      <c r="E3" s="25">
        <v>2025</v>
      </c>
      <c r="F3" s="25">
        <v>2026</v>
      </c>
      <c r="G3" s="25">
        <v>2027</v>
      </c>
      <c r="H3" s="25">
        <v>2028</v>
      </c>
    </row>
    <row r="4" spans="1:11">
      <c r="A4" s="8" t="s">
        <v>123</v>
      </c>
      <c r="B4" s="52"/>
      <c r="C4" s="52"/>
      <c r="D4" s="52"/>
      <c r="E4" s="26">
        <f>'P&amp;L'!E15</f>
        <v>9529298.9248130433</v>
      </c>
      <c r="F4" s="26">
        <f>'P&amp;L'!F15</f>
        <v>10666988.016421225</v>
      </c>
      <c r="G4" s="26">
        <f>'P&amp;L'!G15</f>
        <v>11930016.854842961</v>
      </c>
      <c r="H4" s="26">
        <f>'P&amp;L'!H15</f>
        <v>13334143.340124901</v>
      </c>
    </row>
    <row r="5" spans="1:11">
      <c r="A5" s="8" t="s">
        <v>124</v>
      </c>
      <c r="B5" s="52"/>
      <c r="C5" s="52"/>
      <c r="D5" s="52"/>
      <c r="E5" s="26">
        <f>E4*E6</f>
        <v>-1371728.051094864</v>
      </c>
      <c r="F5" s="26">
        <f t="shared" ref="F5:H5" si="0">F4*F6</f>
        <v>-1535496.6612199992</v>
      </c>
      <c r="G5" s="26">
        <f t="shared" si="0"/>
        <v>-1717307.7367959339</v>
      </c>
      <c r="H5" s="26">
        <f t="shared" si="0"/>
        <v>-1919429.6035086277</v>
      </c>
    </row>
    <row r="6" spans="1:11">
      <c r="A6" s="53" t="s">
        <v>125</v>
      </c>
      <c r="B6" s="52"/>
      <c r="C6" s="52"/>
      <c r="D6" s="52"/>
      <c r="E6" s="28">
        <f>'P&amp;L'!E20</f>
        <v>-0.1439484753199487</v>
      </c>
      <c r="F6" s="28">
        <f>'P&amp;L'!F20</f>
        <v>-0.1439484753199487</v>
      </c>
      <c r="G6" s="28">
        <f>'P&amp;L'!G20</f>
        <v>-0.1439484753199487</v>
      </c>
      <c r="H6" s="28">
        <f>'P&amp;L'!H20</f>
        <v>-0.1439484753199487</v>
      </c>
    </row>
    <row r="7" spans="1:11">
      <c r="A7" s="11" t="s">
        <v>126</v>
      </c>
      <c r="B7" s="52"/>
      <c r="C7" s="52"/>
      <c r="D7" s="52"/>
      <c r="E7" s="75">
        <f>E4+E5</f>
        <v>8157570.8737181798</v>
      </c>
      <c r="F7" s="75">
        <f t="shared" ref="F7:H7" si="1">F4+F5</f>
        <v>9131491.3552012257</v>
      </c>
      <c r="G7" s="75">
        <f t="shared" si="1"/>
        <v>10212709.118047027</v>
      </c>
      <c r="H7" s="75">
        <f t="shared" si="1"/>
        <v>11414713.736616274</v>
      </c>
    </row>
    <row r="8" spans="1:11">
      <c r="A8" s="8" t="s">
        <v>127</v>
      </c>
      <c r="B8" s="52"/>
      <c r="C8" s="52"/>
      <c r="D8" s="52"/>
      <c r="E8" s="31">
        <f>Schedules!E16</f>
        <v>15289123.564698828</v>
      </c>
      <c r="F8" s="31">
        <f>Schedules!F16</f>
        <v>15543205.266041702</v>
      </c>
      <c r="G8" s="31">
        <f>Schedules!G16</f>
        <v>15717270.165026266</v>
      </c>
      <c r="H8" s="31">
        <f>Schedules!H16</f>
        <v>15836517.591733392</v>
      </c>
    </row>
    <row r="9" spans="1:11">
      <c r="A9" s="33" t="s">
        <v>128</v>
      </c>
      <c r="B9" s="52"/>
      <c r="C9" s="52"/>
      <c r="D9" s="52"/>
      <c r="E9" s="31">
        <f>Schedules!E6</f>
        <v>336827.71302715113</v>
      </c>
      <c r="F9" s="31">
        <f>Schedules!F6</f>
        <v>325461.54994137218</v>
      </c>
      <c r="G9" s="31">
        <f>Schedules!G6</f>
        <v>317337.34042785596</v>
      </c>
      <c r="H9" s="31">
        <f>Schedules!H6</f>
        <v>311376.14839906566</v>
      </c>
    </row>
    <row r="10" spans="1:11">
      <c r="A10" s="11" t="s">
        <v>129</v>
      </c>
      <c r="B10" s="52"/>
      <c r="C10" s="52"/>
      <c r="D10" s="52"/>
      <c r="E10" s="26">
        <f>E7+E8+E9</f>
        <v>23783522.151444159</v>
      </c>
      <c r="F10" s="26">
        <f t="shared" ref="F10:H10" si="2">F7+F8+F9</f>
        <v>25000158.171184298</v>
      </c>
      <c r="G10" s="26">
        <f t="shared" si="2"/>
        <v>26247316.623501148</v>
      </c>
      <c r="H10" s="26">
        <f t="shared" si="2"/>
        <v>27562607.476748731</v>
      </c>
    </row>
    <row r="11" spans="1:11">
      <c r="A11" s="8" t="s">
        <v>130</v>
      </c>
      <c r="B11" s="52"/>
      <c r="C11" s="52"/>
      <c r="D11" s="52"/>
      <c r="E11" s="31">
        <f>'Other Items'!E19-'Other Items'!D19</f>
        <v>66721.610388185713</v>
      </c>
      <c r="F11" s="31">
        <f>'Other Items'!F19-'Other Items'!E19</f>
        <v>110351.12966380443</v>
      </c>
      <c r="G11" s="31">
        <f>'Other Items'!G19-'Other Items'!F19</f>
        <v>122948.880745976</v>
      </c>
      <c r="H11" s="31">
        <f>'Other Items'!H19-'Other Items'!G19</f>
        <v>136984.79863995826</v>
      </c>
    </row>
    <row r="12" spans="1:11">
      <c r="A12" s="8" t="s">
        <v>81</v>
      </c>
      <c r="B12" s="52"/>
      <c r="C12" s="52"/>
      <c r="D12" s="52"/>
      <c r="E12" s="30">
        <f>'Other Items'!E25-'Other Items'!D25</f>
        <v>243160.31900167372</v>
      </c>
      <c r="F12" s="30">
        <f>'Other Items'!F25-'Other Items'!E25</f>
        <v>201376.25102775684</v>
      </c>
      <c r="G12" s="30">
        <f>'Other Items'!G25-'Other Items'!F25</f>
        <v>224365.48450490786</v>
      </c>
      <c r="H12" s="30">
        <f>'Other Items'!H25-'Other Items'!G25</f>
        <v>249979.18265040778</v>
      </c>
    </row>
    <row r="13" spans="1:11">
      <c r="A13" s="8" t="s">
        <v>131</v>
      </c>
      <c r="B13" s="52"/>
      <c r="C13" s="52"/>
      <c r="D13" s="52"/>
      <c r="E13">
        <v>0</v>
      </c>
      <c r="F13">
        <v>0</v>
      </c>
      <c r="G13">
        <v>0</v>
      </c>
      <c r="H13">
        <v>0</v>
      </c>
    </row>
    <row r="14" spans="1:11">
      <c r="A14" s="46" t="s">
        <v>30</v>
      </c>
      <c r="B14" s="52"/>
      <c r="C14" s="52"/>
      <c r="D14" s="52"/>
      <c r="E14" s="30">
        <f>'Other Items'!E22-'Other Items'!D22</f>
        <v>113110.94607631583</v>
      </c>
      <c r="F14" s="30">
        <f>'Other Items'!F22-'Other Items'!E22</f>
        <v>259105.16856690636</v>
      </c>
      <c r="G14" s="30">
        <f>'Other Items'!G22-'Other Items'!F22</f>
        <v>288684.76986011071</v>
      </c>
      <c r="H14" s="30">
        <f>'Other Items'!H22-'Other Items'!G22</f>
        <v>321641.19616033416</v>
      </c>
    </row>
    <row r="15" spans="1:11">
      <c r="A15" s="33" t="s">
        <v>20</v>
      </c>
      <c r="B15" s="52"/>
      <c r="C15" s="52"/>
      <c r="D15" s="52"/>
      <c r="E15" s="30">
        <f>-('Other Items'!E16-'Other Items'!D16)</f>
        <v>-453266.67783234455</v>
      </c>
      <c r="F15" s="30">
        <f>-('Other Items'!F16-'Other Items'!E16)</f>
        <v>-453206.92501425277</v>
      </c>
      <c r="G15" s="30">
        <f>-('Other Items'!G16-'Other Items'!F16)</f>
        <v>-504945.29912460595</v>
      </c>
      <c r="H15" s="30">
        <f>-('Other Items'!H16-'Other Items'!G16)</f>
        <v>-562590.15702378843</v>
      </c>
    </row>
    <row r="16" spans="1:11">
      <c r="A16" s="11" t="s">
        <v>132</v>
      </c>
      <c r="B16" s="52"/>
      <c r="C16" s="52"/>
      <c r="D16" s="52"/>
      <c r="E16" s="26">
        <f>SUM(E11:E15)</f>
        <v>-30273.802366169286</v>
      </c>
      <c r="F16" s="26">
        <f t="shared" ref="F16:H16" si="3">SUM(F11:F15)</f>
        <v>117625.62424421485</v>
      </c>
      <c r="G16" s="26">
        <f t="shared" si="3"/>
        <v>131053.83598638861</v>
      </c>
      <c r="H16" s="26">
        <f t="shared" si="3"/>
        <v>146015.02042691177</v>
      </c>
    </row>
    <row r="17" spans="1:8">
      <c r="A17" s="8" t="s">
        <v>87</v>
      </c>
      <c r="B17" s="52"/>
      <c r="C17" s="52"/>
      <c r="D17" s="52"/>
      <c r="E17" s="31">
        <f>Schedules!E15</f>
        <v>16095923</v>
      </c>
      <c r="F17" s="31">
        <f>Schedules!F15</f>
        <v>16095923</v>
      </c>
      <c r="G17" s="31">
        <f>Schedules!G15</f>
        <v>16095923</v>
      </c>
      <c r="H17" s="31">
        <f>Schedules!H15</f>
        <v>16095923</v>
      </c>
    </row>
    <row r="18" spans="1:8">
      <c r="A18" s="33" t="s">
        <v>133</v>
      </c>
      <c r="B18" s="52"/>
      <c r="C18" s="52"/>
      <c r="D18" s="52"/>
      <c r="E18" s="31">
        <f>Schedules!E5</f>
        <v>431226</v>
      </c>
      <c r="F18" s="31">
        <f>Schedules!F5</f>
        <v>431226</v>
      </c>
      <c r="G18" s="31">
        <f>Schedules!G5</f>
        <v>431226</v>
      </c>
      <c r="H18" s="31">
        <f>Schedules!H5</f>
        <v>431226</v>
      </c>
    </row>
    <row r="19" spans="1:8">
      <c r="A19" s="11" t="s">
        <v>134</v>
      </c>
      <c r="B19" s="52"/>
      <c r="C19" s="52"/>
      <c r="D19" s="52"/>
      <c r="E19" s="31">
        <f>-SUM(E17:E18)</f>
        <v>-16527149</v>
      </c>
      <c r="F19" s="31">
        <f t="shared" ref="F19:H19" si="4">-SUM(F17:F18)</f>
        <v>-16527149</v>
      </c>
      <c r="G19" s="31">
        <f t="shared" si="4"/>
        <v>-16527149</v>
      </c>
      <c r="H19" s="31">
        <f t="shared" si="4"/>
        <v>-16527149</v>
      </c>
    </row>
    <row r="20" spans="1:8">
      <c r="A20" s="54" t="s">
        <v>135</v>
      </c>
      <c r="B20" s="52"/>
      <c r="C20" s="52"/>
      <c r="D20" s="52"/>
    </row>
    <row r="21" spans="1:8" s="73" customFormat="1">
      <c r="A21" s="76" t="s">
        <v>136</v>
      </c>
      <c r="B21" s="77"/>
      <c r="C21" s="77"/>
      <c r="D21" s="77"/>
      <c r="E21" s="78">
        <f>E19+E16+E10</f>
        <v>7226099.3490779903</v>
      </c>
      <c r="F21" s="78">
        <f t="shared" ref="F21:H21" si="5">F19+F16+F10</f>
        <v>8590634.7954285126</v>
      </c>
      <c r="G21" s="78">
        <f t="shared" si="5"/>
        <v>9851221.4594875369</v>
      </c>
      <c r="H21" s="78">
        <f t="shared" si="5"/>
        <v>11181473.497175643</v>
      </c>
    </row>
    <row r="22" spans="1:8">
      <c r="A22" s="44" t="s">
        <v>137</v>
      </c>
      <c r="B22" s="52"/>
      <c r="C22" s="52"/>
      <c r="D22" s="52"/>
      <c r="E22" s="30">
        <f>Schedules!E24</f>
        <v>-1787000</v>
      </c>
      <c r="F22" s="30">
        <f>Schedules!F24</f>
        <v>-1000000</v>
      </c>
      <c r="G22" s="30">
        <f>Schedules!G24</f>
        <v>-1434000</v>
      </c>
      <c r="H22" s="30">
        <f>Schedules!H24</f>
        <v>-3500000</v>
      </c>
    </row>
    <row r="23" spans="1:8">
      <c r="A23" s="55" t="s">
        <v>94</v>
      </c>
      <c r="B23" s="52"/>
      <c r="C23" s="52"/>
      <c r="D23" s="52"/>
      <c r="E23" s="26">
        <f>Schedules!E27</f>
        <v>-603657.85542436212</v>
      </c>
      <c r="F23" s="26">
        <f>Schedules!F27</f>
        <v>-553400.57333974377</v>
      </c>
      <c r="G23" s="26">
        <f>Schedules!G27</f>
        <v>-481331.63083040115</v>
      </c>
      <c r="H23" s="26">
        <f>Schedules!H27</f>
        <v>-305431.14353423711</v>
      </c>
    </row>
    <row r="24" spans="1:8">
      <c r="A24" s="55" t="s">
        <v>138</v>
      </c>
      <c r="B24" s="52"/>
      <c r="C24" s="52"/>
      <c r="D24" s="52"/>
      <c r="E24" s="26">
        <f>'P&amp;L'!E19-'Cashflow Statement'!E5</f>
        <v>86895.627903246786</v>
      </c>
      <c r="F24" s="26">
        <f>'P&amp;L'!F19-'Cashflow Statement'!F5</f>
        <v>79661.168773441575</v>
      </c>
      <c r="G24" s="26">
        <f>'P&amp;L'!G19-'Cashflow Statement'!G5</f>
        <v>69286.954381300602</v>
      </c>
      <c r="H24" s="26">
        <f>'P&amp;L'!H19-'Cashflow Statement'!H5</f>
        <v>43966.347426981898</v>
      </c>
    </row>
    <row r="25" spans="1:8">
      <c r="A25" s="56" t="s">
        <v>139</v>
      </c>
      <c r="E25" s="26">
        <f>SUM(E21:E24)</f>
        <v>4922337.1215568744</v>
      </c>
      <c r="F25" s="26">
        <f t="shared" ref="F25:H25" si="6">SUM(F21:F24)</f>
        <v>7116895.3908622107</v>
      </c>
      <c r="G25" s="26">
        <f t="shared" si="6"/>
        <v>8005176.7830384355</v>
      </c>
      <c r="H25" s="26">
        <f t="shared" si="6"/>
        <v>7420008.7010683874</v>
      </c>
    </row>
    <row r="26" spans="1:8">
      <c r="A26" s="57"/>
    </row>
    <row r="27" spans="1:8">
      <c r="A27" s="55"/>
    </row>
    <row r="28" spans="1:8">
      <c r="A28" s="8"/>
    </row>
    <row r="29" spans="1:8">
      <c r="A29" s="8"/>
    </row>
    <row r="30" spans="1:8">
      <c r="A30" s="55"/>
    </row>
    <row r="31" spans="1:8">
      <c r="A31" s="55"/>
    </row>
    <row r="32" spans="1:8">
      <c r="A32" s="8"/>
    </row>
    <row r="33" spans="1:1">
      <c r="A33" s="8"/>
    </row>
    <row r="34" spans="1:1">
      <c r="A34" s="8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1" spans="1:1">
      <c r="A41" s="8"/>
    </row>
    <row r="42" spans="1:1">
      <c r="A42" s="8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70" spans="1:1">
      <c r="A70" s="8"/>
    </row>
    <row r="71" spans="1:1">
      <c r="A71" s="8"/>
    </row>
    <row r="72" spans="1:1">
      <c r="A72" s="8"/>
    </row>
    <row r="73" spans="1:1">
      <c r="A73" s="8"/>
    </row>
    <row r="74" spans="1:1">
      <c r="A74" s="8"/>
    </row>
    <row r="75" spans="1:1">
      <c r="A75" s="8"/>
    </row>
    <row r="76" spans="1:1">
      <c r="A76" s="8"/>
    </row>
    <row r="77" spans="1:1">
      <c r="A77" s="8"/>
    </row>
    <row r="78" spans="1:1">
      <c r="A78" s="8"/>
    </row>
    <row r="79" spans="1:1">
      <c r="A79" s="8"/>
    </row>
    <row r="80" spans="1:1">
      <c r="A80" s="8"/>
    </row>
    <row r="81" spans="1:1">
      <c r="A81" s="8"/>
    </row>
    <row r="82" spans="1:1">
      <c r="A82" s="8"/>
    </row>
    <row r="83" spans="1:1">
      <c r="A83" s="8"/>
    </row>
    <row r="84" spans="1:1">
      <c r="A84" s="8"/>
    </row>
    <row r="85" spans="1:1">
      <c r="A85" s="8"/>
    </row>
    <row r="86" spans="1:1">
      <c r="A86" s="8"/>
    </row>
    <row r="87" spans="1:1">
      <c r="A87" s="8"/>
    </row>
    <row r="88" spans="1:1">
      <c r="A88" s="8"/>
    </row>
    <row r="89" spans="1:1">
      <c r="A89" s="8"/>
    </row>
    <row r="90" spans="1:1">
      <c r="A90" s="8"/>
    </row>
    <row r="91" spans="1:1">
      <c r="A91" s="8"/>
    </row>
    <row r="92" spans="1:1">
      <c r="A92" s="8"/>
    </row>
    <row r="93" spans="1:1">
      <c r="A93" s="8"/>
    </row>
    <row r="94" spans="1:1">
      <c r="A94" s="8"/>
    </row>
    <row r="95" spans="1:1">
      <c r="A95" s="8"/>
    </row>
    <row r="96" spans="1:1">
      <c r="A96" s="8"/>
    </row>
    <row r="97" spans="1:1">
      <c r="A97" s="8"/>
    </row>
    <row r="98" spans="1:1">
      <c r="A98" s="8"/>
    </row>
    <row r="99" spans="1:1">
      <c r="A99" s="8"/>
    </row>
    <row r="100" spans="1:1">
      <c r="A100" s="8"/>
    </row>
  </sheetData>
  <mergeCells count="1">
    <mergeCell ref="A1:K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84BE-DC4E-4A2B-9AA4-9741E63EC1CC}">
  <dimension ref="A1:P18"/>
  <sheetViews>
    <sheetView workbookViewId="0">
      <selection activeCell="F20" sqref="F20"/>
    </sheetView>
  </sheetViews>
  <sheetFormatPr defaultColWidth="14.44140625" defaultRowHeight="14.4"/>
  <cols>
    <col min="2" max="2" width="18.6640625" customWidth="1"/>
    <col min="3" max="3" width="14.109375" bestFit="1" customWidth="1"/>
    <col min="4" max="5" width="8.6640625" customWidth="1"/>
    <col min="6" max="6" width="11" customWidth="1"/>
    <col min="7" max="7" width="13.109375" customWidth="1"/>
    <col min="8" max="14" width="8.6640625" customWidth="1"/>
  </cols>
  <sheetData>
    <row r="1" spans="1:16" ht="25.8">
      <c r="A1" s="129" t="s">
        <v>140</v>
      </c>
      <c r="B1" s="129"/>
      <c r="C1" s="129"/>
      <c r="D1" s="129"/>
      <c r="E1" s="129"/>
    </row>
    <row r="2" spans="1:16" ht="15" thickBot="1">
      <c r="B2" s="58"/>
      <c r="C2" s="58"/>
      <c r="D2" s="58"/>
      <c r="E2" s="58"/>
      <c r="F2" s="58"/>
    </row>
    <row r="3" spans="1:16" ht="43.2">
      <c r="B3" s="94" t="s">
        <v>173</v>
      </c>
      <c r="C3" s="95">
        <v>4.1500000000000002E-2</v>
      </c>
      <c r="J3" s="128" t="s">
        <v>163</v>
      </c>
      <c r="K3" s="128"/>
      <c r="L3" s="128"/>
      <c r="M3" s="128"/>
      <c r="N3" s="128"/>
      <c r="O3" s="128"/>
      <c r="P3" s="128"/>
    </row>
    <row r="4" spans="1:16">
      <c r="B4" s="59" t="s">
        <v>141</v>
      </c>
      <c r="C4" s="96">
        <v>4.9000000000000002E-2</v>
      </c>
    </row>
    <row r="5" spans="1:16" ht="15" thickBot="1">
      <c r="B5" s="61" t="s">
        <v>142</v>
      </c>
      <c r="C5" s="97">
        <v>1.05</v>
      </c>
    </row>
    <row r="6" spans="1:16" ht="15" thickBot="1"/>
    <row r="7" spans="1:16" ht="23.4">
      <c r="B7" s="79" t="s">
        <v>44</v>
      </c>
      <c r="C7" s="80" t="s">
        <v>143</v>
      </c>
      <c r="E7" s="132" t="s">
        <v>179</v>
      </c>
      <c r="F7" s="132"/>
      <c r="G7" s="132"/>
      <c r="H7" s="132"/>
      <c r="I7" s="132"/>
    </row>
    <row r="8" spans="1:16">
      <c r="B8" s="59"/>
      <c r="C8" s="62"/>
    </row>
    <row r="9" spans="1:16">
      <c r="B9" s="59" t="s">
        <v>144</v>
      </c>
      <c r="C9" s="60">
        <f>C3*C5+C4</f>
        <v>9.2575000000000005E-2</v>
      </c>
      <c r="E9" s="130" t="s">
        <v>178</v>
      </c>
      <c r="F9" s="130"/>
      <c r="G9" s="130" t="s">
        <v>177</v>
      </c>
      <c r="H9" s="130"/>
      <c r="I9" s="130"/>
    </row>
    <row r="10" spans="1:16">
      <c r="B10" s="59" t="s">
        <v>145</v>
      </c>
      <c r="C10" s="60">
        <v>5.3999999999999999E-2</v>
      </c>
      <c r="E10" s="101"/>
      <c r="F10" s="104">
        <f>DCF!B23</f>
        <v>510.67724228723358</v>
      </c>
      <c r="G10" s="102">
        <v>3.7499999999999999E-2</v>
      </c>
      <c r="H10" s="102">
        <v>4.1500000000000002E-2</v>
      </c>
      <c r="I10" s="102">
        <v>4.7500000000000001E-2</v>
      </c>
    </row>
    <row r="11" spans="1:16">
      <c r="B11" s="59"/>
      <c r="C11" s="62"/>
      <c r="E11" s="131" t="s">
        <v>140</v>
      </c>
      <c r="F11" s="102">
        <v>8.5000000000000006E-2</v>
      </c>
      <c r="G11" s="103">
        <f t="dataTable" ref="G11:I13" dt2D="1" dtr="1" r1="C3" r2="C18"/>
        <v>516.73967246269103</v>
      </c>
      <c r="H11" s="103">
        <v>553.97877445081883</v>
      </c>
      <c r="I11" s="103">
        <v>624.73306822826146</v>
      </c>
    </row>
    <row r="12" spans="1:16">
      <c r="B12" s="59" t="s">
        <v>146</v>
      </c>
      <c r="C12" s="63">
        <f>'Balance Sheet'!H32</f>
        <v>61996040.978938937</v>
      </c>
      <c r="E12" s="131"/>
      <c r="F12" s="102">
        <v>8.9099999999999999E-2</v>
      </c>
      <c r="G12" s="103">
        <v>480.00068674678397</v>
      </c>
      <c r="H12" s="103">
        <v>510.97568939567742</v>
      </c>
      <c r="I12" s="103">
        <v>568.60706451645513</v>
      </c>
    </row>
    <row r="13" spans="1:16">
      <c r="B13" s="59" t="s">
        <v>147</v>
      </c>
      <c r="C13" s="63">
        <f>'Balance Sheet'!H24</f>
        <v>6077351</v>
      </c>
      <c r="E13" s="131"/>
      <c r="F13" s="102">
        <v>9.5000000000000001E-2</v>
      </c>
      <c r="G13" s="103">
        <v>436.3417444582762</v>
      </c>
      <c r="H13" s="103">
        <v>460.67539665927563</v>
      </c>
      <c r="I13" s="103">
        <v>504.8601861821432</v>
      </c>
    </row>
    <row r="14" spans="1:16">
      <c r="B14" s="59"/>
      <c r="C14" s="62"/>
    </row>
    <row r="15" spans="1:16">
      <c r="B15" s="59" t="s">
        <v>148</v>
      </c>
      <c r="C15" s="62">
        <f>C12/(C12+C13)</f>
        <v>0.91072354669971112</v>
      </c>
    </row>
    <row r="16" spans="1:16">
      <c r="B16" s="59" t="s">
        <v>149</v>
      </c>
      <c r="C16" s="62">
        <f>C13/(C12+C13)</f>
        <v>8.9276453300288855E-2</v>
      </c>
    </row>
    <row r="17" spans="2:3">
      <c r="B17" s="59"/>
      <c r="C17" s="62"/>
    </row>
    <row r="18" spans="2:3" ht="15" thickBot="1">
      <c r="B18" s="84" t="s">
        <v>140</v>
      </c>
      <c r="C18" s="85">
        <f>C9*C15+C10*C16</f>
        <v>8.913116081394136E-2</v>
      </c>
    </row>
  </sheetData>
  <mergeCells count="6">
    <mergeCell ref="J3:P3"/>
    <mergeCell ref="A1:E1"/>
    <mergeCell ref="G9:I9"/>
    <mergeCell ref="E11:E13"/>
    <mergeCell ref="E9:F9"/>
    <mergeCell ref="E7:I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6791-EE68-4A46-9525-676D01648803}">
  <dimension ref="A1:E100"/>
  <sheetViews>
    <sheetView workbookViewId="0">
      <selection activeCell="D26" sqref="D26"/>
    </sheetView>
  </sheetViews>
  <sheetFormatPr defaultColWidth="14.44140625" defaultRowHeight="15" customHeight="1"/>
  <cols>
    <col min="1" max="1" width="25.109375" customWidth="1"/>
    <col min="2" max="2" width="15.6640625" bestFit="1" customWidth="1"/>
    <col min="3" max="4" width="14.5546875" customWidth="1"/>
    <col min="5" max="5" width="16.109375" bestFit="1" customWidth="1"/>
    <col min="6" max="11" width="8.6640625" customWidth="1"/>
  </cols>
  <sheetData>
    <row r="1" spans="1:5" ht="25.8">
      <c r="A1" s="129" t="s">
        <v>150</v>
      </c>
      <c r="B1" s="129"/>
      <c r="C1" s="129"/>
      <c r="D1" s="129"/>
      <c r="E1" s="129"/>
    </row>
    <row r="2" spans="1:5" ht="14.25" customHeight="1" thickBot="1"/>
    <row r="3" spans="1:5" ht="14.25" customHeight="1" thickBot="1">
      <c r="A3" s="117" t="s">
        <v>44</v>
      </c>
      <c r="B3" s="118">
        <v>2025</v>
      </c>
      <c r="C3" s="118">
        <v>2026</v>
      </c>
      <c r="D3" s="118">
        <v>2027</v>
      </c>
      <c r="E3" s="119">
        <v>2028</v>
      </c>
    </row>
    <row r="4" spans="1:5" ht="14.25" customHeight="1">
      <c r="A4" s="108" t="s">
        <v>136</v>
      </c>
      <c r="B4" s="109">
        <f>'Cashflow Statement'!E21</f>
        <v>7226099.3490779903</v>
      </c>
      <c r="C4" s="110">
        <f>'Cashflow Statement'!F21</f>
        <v>8590634.7954285126</v>
      </c>
      <c r="D4" s="109">
        <f>'Cashflow Statement'!G21</f>
        <v>9851221.4594875369</v>
      </c>
      <c r="E4" s="109">
        <f>'Cashflow Statement'!H21</f>
        <v>11181473.497175643</v>
      </c>
    </row>
    <row r="5" spans="1:5" ht="14.25" customHeight="1">
      <c r="A5" s="111" t="s">
        <v>151</v>
      </c>
      <c r="B5" s="112">
        <f>1/(1+WACC!$C$18)^DCF!B6</f>
        <v>0.91816306059287578</v>
      </c>
      <c r="C5" s="111">
        <f>1/(1+WACC!$C$18)^DCF!C6</f>
        <v>0.84302340583727686</v>
      </c>
      <c r="D5" s="112">
        <f>1/(1+WACC!$C$18)^DCF!D6</f>
        <v>0.7740329504549841</v>
      </c>
      <c r="E5" s="112">
        <f>1/(1+WACC!$C$18)^DCF!E6</f>
        <v>0.71068846278948206</v>
      </c>
    </row>
    <row r="6" spans="1:5" ht="14.25" customHeight="1">
      <c r="A6" s="111" t="s">
        <v>152</v>
      </c>
      <c r="B6" s="112">
        <v>1</v>
      </c>
      <c r="C6" s="111">
        <v>2</v>
      </c>
      <c r="D6" s="112">
        <v>3</v>
      </c>
      <c r="E6" s="112">
        <v>4</v>
      </c>
    </row>
    <row r="7" spans="1:5" ht="14.25" customHeight="1">
      <c r="A7" s="111"/>
      <c r="B7" s="112"/>
      <c r="C7" s="111"/>
      <c r="D7" s="112"/>
      <c r="E7" s="112"/>
    </row>
    <row r="8" spans="1:5" ht="14.25" customHeight="1">
      <c r="A8" s="111" t="s">
        <v>153</v>
      </c>
      <c r="B8" s="113">
        <f t="shared" ref="B8:E8" si="0">B4*B5</f>
        <v>6634737.4944976354</v>
      </c>
      <c r="C8" s="114">
        <f t="shared" si="0"/>
        <v>7242106.2035463629</v>
      </c>
      <c r="D8" s="113">
        <f t="shared" si="0"/>
        <v>7625170.0118725933</v>
      </c>
      <c r="E8" s="113">
        <f t="shared" si="0"/>
        <v>7946544.2114290921</v>
      </c>
    </row>
    <row r="9" spans="1:5" ht="14.25" customHeight="1">
      <c r="A9" s="111"/>
      <c r="B9" s="112"/>
      <c r="C9" s="111"/>
      <c r="D9" s="112"/>
      <c r="E9" s="112"/>
    </row>
    <row r="10" spans="1:5" ht="14.25" customHeight="1">
      <c r="A10" s="111" t="s">
        <v>154</v>
      </c>
      <c r="B10" s="113">
        <f>SUM(B8:E8)</f>
        <v>29448557.921345685</v>
      </c>
      <c r="C10" s="111"/>
      <c r="D10" s="112"/>
      <c r="E10" s="112"/>
    </row>
    <row r="11" spans="1:5" ht="14.25" customHeight="1">
      <c r="A11" s="111"/>
      <c r="B11" s="112"/>
      <c r="C11" s="111"/>
      <c r="D11" s="112"/>
      <c r="E11" s="115"/>
    </row>
    <row r="12" spans="1:5" ht="14.25" customHeight="1">
      <c r="A12" s="111" t="s">
        <v>155</v>
      </c>
      <c r="B12" s="113">
        <f>E4*(1+WACC!C3)/(WACC!C18-WACC!C3)</f>
        <v>244493404.07214814</v>
      </c>
      <c r="C12" s="111"/>
      <c r="D12" s="112"/>
      <c r="E12" s="115"/>
    </row>
    <row r="13" spans="1:5" ht="14.25" customHeight="1" thickBot="1">
      <c r="A13" s="106" t="s">
        <v>156</v>
      </c>
      <c r="B13" s="107">
        <f>B12*E5</f>
        <v>173758641.50220266</v>
      </c>
      <c r="C13" s="106"/>
      <c r="D13" s="105"/>
      <c r="E13" s="105"/>
    </row>
    <row r="14" spans="1:5" ht="14.25" customHeight="1"/>
    <row r="15" spans="1:5" ht="14.25" customHeight="1">
      <c r="B15" s="64"/>
      <c r="D15" s="30"/>
      <c r="E15" s="28"/>
    </row>
    <row r="16" spans="1:5" s="73" customFormat="1" ht="14.25" customHeight="1">
      <c r="A16" s="81" t="s">
        <v>157</v>
      </c>
      <c r="B16" s="82">
        <f>B13+B10</f>
        <v>203207199.42354834</v>
      </c>
      <c r="D16" s="83"/>
    </row>
    <row r="17" spans="1:4" ht="14.25" customHeight="1">
      <c r="A17" t="s">
        <v>147</v>
      </c>
      <c r="B17" s="30">
        <f>'Balance Sheet'!H24</f>
        <v>6077351</v>
      </c>
      <c r="D17" s="28"/>
    </row>
    <row r="18" spans="1:4" ht="14.25" customHeight="1">
      <c r="A18" t="s">
        <v>158</v>
      </c>
      <c r="B18" s="30">
        <f>'Balance Sheet'!H6</f>
        <v>35269150.996525906</v>
      </c>
      <c r="D18" s="28"/>
    </row>
    <row r="19" spans="1:4" s="73" customFormat="1" ht="14.25" customHeight="1">
      <c r="A19" s="81" t="s">
        <v>174</v>
      </c>
      <c r="B19" s="82">
        <f>B16+B18-B17</f>
        <v>232398999.42007425</v>
      </c>
      <c r="D19" s="83"/>
    </row>
    <row r="20" spans="1:4" ht="14.25" customHeight="1"/>
    <row r="21" spans="1:4" ht="28.8">
      <c r="A21" s="98" t="s">
        <v>175</v>
      </c>
      <c r="B21" s="116">
        <v>455080</v>
      </c>
    </row>
    <row r="22" spans="1:4" ht="14.25" customHeight="1"/>
    <row r="23" spans="1:4" ht="14.25" customHeight="1">
      <c r="A23" s="99" t="s">
        <v>176</v>
      </c>
      <c r="B23" s="100">
        <f>B19/B21</f>
        <v>510.67724228723358</v>
      </c>
    </row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P&amp;L Input</vt:lpstr>
      <vt:lpstr>Balance Sheet Input</vt:lpstr>
      <vt:lpstr>Revenue Modelling</vt:lpstr>
      <vt:lpstr>Other Items</vt:lpstr>
      <vt:lpstr>Schedules</vt:lpstr>
      <vt:lpstr>P&amp;L</vt:lpstr>
      <vt:lpstr>Balance Sheet</vt:lpstr>
      <vt:lpstr>Cashflow Statement</vt:lpstr>
      <vt:lpstr>WACC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Ash's Predator</dc:creator>
  <cp:lastModifiedBy>Ash's Predator</cp:lastModifiedBy>
  <dcterms:created xsi:type="dcterms:W3CDTF">2025-11-01T13:56:06Z</dcterms:created>
  <dcterms:modified xsi:type="dcterms:W3CDTF">2025-11-11T04:25:49Z</dcterms:modified>
</cp:coreProperties>
</file>